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Database" sheetId="1" r:id="rId5"/>
    <sheet state="visible" name="Daily Attendance" sheetId="2" r:id="rId6"/>
    <sheet state="visible" name="Homework Tracker" sheetId="3" r:id="rId7"/>
    <sheet state="visible" name="Recent Grades" sheetId="4" r:id="rId8"/>
    <sheet state="visible" name="Communication Log" sheetId="5" r:id="rId9"/>
  </sheets>
  <definedNames/>
  <calcPr/>
</workbook>
</file>

<file path=xl/sharedStrings.xml><?xml version="1.0" encoding="utf-8"?>
<sst xmlns="http://schemas.openxmlformats.org/spreadsheetml/2006/main" count="476" uniqueCount="146">
  <si>
    <t>Student ID</t>
  </si>
  <si>
    <t>Student Name</t>
  </si>
  <si>
    <t>Class</t>
  </si>
  <si>
    <t>Section</t>
  </si>
  <si>
    <t>Parent Name</t>
  </si>
  <si>
    <t>Parent WhatsApp</t>
  </si>
  <si>
    <t>Parent Email</t>
  </si>
  <si>
    <t>Parent WhatsApp 2</t>
  </si>
  <si>
    <t>Emergency Contact</t>
  </si>
  <si>
    <t>Status</t>
  </si>
  <si>
    <t>ST001</t>
  </si>
  <si>
    <t>Arjun Sharma</t>
  </si>
  <si>
    <t>A</t>
  </si>
  <si>
    <t>Priya Sharma</t>
  </si>
  <si>
    <t>917286 939 707</t>
  </si>
  <si>
    <t>durgasairam24@gmail.com</t>
  </si>
  <si>
    <t>Active</t>
  </si>
  <si>
    <t>ST002</t>
  </si>
  <si>
    <t>Ananya Patel</t>
  </si>
  <si>
    <t>Rajesh Patel</t>
  </si>
  <si>
    <t>Inactive</t>
  </si>
  <si>
    <t>ST003</t>
  </si>
  <si>
    <t>Rohan Kumar</t>
  </si>
  <si>
    <t>B</t>
  </si>
  <si>
    <t>Sunita Kumar</t>
  </si>
  <si>
    <t>918522 978 146</t>
  </si>
  <si>
    <t>ST004</t>
  </si>
  <si>
    <t>Kavya Singh</t>
  </si>
  <si>
    <t>Amit Singh</t>
  </si>
  <si>
    <t>916305 427 437</t>
  </si>
  <si>
    <t>alekyainkolu9119@gmail.com</t>
  </si>
  <si>
    <t>ST005</t>
  </si>
  <si>
    <t>Dev Agarwal</t>
  </si>
  <si>
    <t>C</t>
  </si>
  <si>
    <t>Meera Agarwal</t>
  </si>
  <si>
    <t>916302 032 328</t>
  </si>
  <si>
    <t>ashwinialli18@gmail.com</t>
  </si>
  <si>
    <t>Date</t>
  </si>
  <si>
    <t>Check-in Time</t>
  </si>
  <si>
    <t>Remarks</t>
  </si>
  <si>
    <t>Marked By</t>
  </si>
  <si>
    <t>Timestamp</t>
  </si>
  <si>
    <t>Present</t>
  </si>
  <si>
    <t>On time</t>
  </si>
  <si>
    <t>Ms. Gupta</t>
  </si>
  <si>
    <t>Absent</t>
  </si>
  <si>
    <t>Fever - informed</t>
  </si>
  <si>
    <t>Late</t>
  </si>
  <si>
    <t>Traffic jam</t>
  </si>
  <si>
    <t>Mr. Verma</t>
  </si>
  <si>
    <t>Early arrival</t>
  </si>
  <si>
    <t>Ms. Sharma</t>
  </si>
  <si>
    <t>Half Day</t>
  </si>
  <si>
    <t>Doctor appt 2PM</t>
  </si>
  <si>
    <t>Mr. Joshi</t>
  </si>
  <si>
    <t>Date Assigned</t>
  </si>
  <si>
    <t>Due Date</t>
  </si>
  <si>
    <t>Subject</t>
  </si>
  <si>
    <t>Assignment Title</t>
  </si>
  <si>
    <t>Assignment Description</t>
  </si>
  <si>
    <t>Submission Date</t>
  </si>
  <si>
    <t>Grade</t>
  </si>
  <si>
    <t>Teacher Comments</t>
  </si>
  <si>
    <t>Teacher Name</t>
  </si>
  <si>
    <t>Math</t>
  </si>
  <si>
    <t>Chapter 6 Practice</t>
  </si>
  <si>
    <t>Ex 6.1 Q1-15, Ex 6.2 Q1-8</t>
  </si>
  <si>
    <t>Assigned</t>
  </si>
  <si>
    <t>English</t>
  </si>
  <si>
    <t>Story Writing</t>
  </si>
  <si>
    <t>Write a story about friendship</t>
  </si>
  <si>
    <t>Mr. Singh</t>
  </si>
  <si>
    <t>Science</t>
  </si>
  <si>
    <t>Lab Worksheet</t>
  </si>
  <si>
    <t>Plant growth experiment</t>
  </si>
  <si>
    <t>Submitted</t>
  </si>
  <si>
    <t>Dr. Patel</t>
  </si>
  <si>
    <t>History</t>
  </si>
  <si>
    <t>Map Work</t>
  </si>
  <si>
    <t>Mark freedom fighters' birthpl</t>
  </si>
  <si>
    <t>Ms. Reddy</t>
  </si>
  <si>
    <t>Tables Practice</t>
  </si>
  <si>
    <t>Tables 16-20, Word problems</t>
  </si>
  <si>
    <t>Essay Writing</t>
  </si>
  <si>
    <t>My Role Model 250 words</t>
  </si>
  <si>
    <t>Assessment Type</t>
  </si>
  <si>
    <t>Assessment Name</t>
  </si>
  <si>
    <t>Marks</t>
  </si>
  <si>
    <t>Total</t>
  </si>
  <si>
    <t>Percentage</t>
  </si>
  <si>
    <t>Class Avg</t>
  </si>
  <si>
    <t>Quiz</t>
  </si>
  <si>
    <t>Fractions Quiz</t>
  </si>
  <si>
    <t>A+</t>
  </si>
  <si>
    <t>Excellent work</t>
  </si>
  <si>
    <t>Test</t>
  </si>
  <si>
    <t>Light and Sound</t>
  </si>
  <si>
    <t>Good understanding</t>
  </si>
  <si>
    <t>Assignment</t>
  </si>
  <si>
    <t>Poem Writing</t>
  </si>
  <si>
    <t>Very creative</t>
  </si>
  <si>
    <t>Keep practicing</t>
  </si>
  <si>
    <t>Project</t>
  </si>
  <si>
    <t>Ancient Monuments</t>
  </si>
  <si>
    <t>Good research</t>
  </si>
  <si>
    <t>Solar System</t>
  </si>
  <si>
    <t>B+</t>
  </si>
  <si>
    <t>Study planets more</t>
  </si>
  <si>
    <t>Addition Quiz</t>
  </si>
  <si>
    <t>Perfect addition</t>
  </si>
  <si>
    <t>Reading Test</t>
  </si>
  <si>
    <t>Good comprehension</t>
  </si>
  <si>
    <t>Book Review</t>
  </si>
  <si>
    <t>Insightful analysis</t>
  </si>
  <si>
    <t>Algebra Test</t>
  </si>
  <si>
    <t>Strong problem solving</t>
  </si>
  <si>
    <t>Time</t>
  </si>
  <si>
    <t>Comm Type</t>
  </si>
  <si>
    <t>Channel</t>
  </si>
  <si>
    <t>Phone Used</t>
  </si>
  <si>
    <t>Email Used</t>
  </si>
  <si>
    <t>Message Preview</t>
  </si>
  <si>
    <t>Error</t>
  </si>
  <si>
    <t>Retry</t>
  </si>
  <si>
    <t>Final Status</t>
  </si>
  <si>
    <t>Daily Update</t>
  </si>
  <si>
    <t>WhatsApp</t>
  </si>
  <si>
    <t>Delivered</t>
  </si>
  <si>
    <t>Hi Priya! Here's today's update for Arjun</t>
  </si>
  <si>
    <t>None</t>
  </si>
  <si>
    <t>Success</t>
  </si>
  <si>
    <t>Email</t>
  </si>
  <si>
    <t>Sent</t>
  </si>
  <si>
    <t>rajesh@gmail.com</t>
  </si>
  <si>
    <t>Hi Rajesh! Here's today's update for An</t>
  </si>
  <si>
    <t>WA Failed</t>
  </si>
  <si>
    <t>Success (Email)</t>
  </si>
  <si>
    <t>Hi Sunita! Here's today's update for Ro</t>
  </si>
  <si>
    <t xml:space="preserve"> || </t>
  </si>
  <si>
    <t>Completed</t>
  </si>
  <si>
    <t xml:space="preserve">
Hi Priya Sharma! 👋
Here's today's update for Arjun Sharma (Class 5A):
📅 Attendance:
- Present on 2025-09-07 (Check-in: 08:15, Remarks: On time, Marked by: Ms. Gupta)
📚 Homework Status:
- Math: Chapter 6 Practice (Status: Assigned, Due: 2025-09-08)
🏆 Recent Achievements:
- Math: Fractions Quiz - 19/20 (Grade: A+, Assessment: Quiz, Teacher: Ms. Gupta)
Great job on the recent activities! Please remind Arjun Sharma to complete any pending homework.
For any queries, contact us at:
📞 98765678992 | 📧 Ushodayameritschool@gmail.com
Best regards,
Ushodaya Merit School Team
</t>
  </si>
  <si>
    <t>Whatsapp</t>
  </si>
  <si>
    <t>email</t>
  </si>
  <si>
    <t xml:space="preserve">
Hi Sunita Kumar! 👋
Here's today's update for Rohan Kumar (Class 6B):
📅 Attendance:
- Late on 2025-09-07 (Check-in: 08:45, Remarks: Traffic jam, Marked by: Mr. Verma)
📚 Homework Status:
- History: Map Work (Status: Assigned, Due: 2025-09-10)
🏆 Recent Achievements:
- History: Ancient Monuments - 44/50 (Grade: A, Assessment: Project, Teacher: Ms. Reddy)
Great job on the recent activities! Please remind Rohan Kumar to complete any pending homework.
For any queries, contact us at:
📞 98765678992 | 📧 Ushodayameritschool@gmail.com
Best regards,
Ushodaya Merit School Team
</t>
  </si>
  <si>
    <t xml:space="preserve">
Hi Amit Singh! 👋
Here's today's update for Kavya Singh (Class 4A):
📅 Attendance:
- Present on 2025-09-07 (Check-in: 08:10, Remarks: Early arrival, Marked by: Ms. Sharma)
📚 Homework Status:
- Math: Tables Practice (Status: Late, Due: 2025-09-08)
🏆 Recent Achievements:
- Math: Addition Quiz - 18/20 (Grade: A+, Assessment: Quiz, Teacher: Ms. Gupta)
Great job on the recent activities! Please remind Kavya Singh to complete any pending homework.
For any queries, contact us at:
📞 98765678992 | 📧 Ushodayameritschool@gmail.com
Best regards,
Ushodaya Merit School Team
</t>
  </si>
  <si>
    <t xml:space="preserve">
Hi Meera Agarwal! 👋
Here's today's update for Dev Agarwal (Class 7C):
📅 Attendance:
- Half Day on 2025-09-07 (Check-in: 08:20, Remarks: Doctor appt 2PM, Marked by: Mr. Joshi)
📚 Homework Status:
- English: Essay Writing (Status: Assigned, Due: 2025-09-09)
🏆 Recent Achievements:
- English: Book Review - 47/50 (Grade: A+, Assessment: Assignment, Teacher: Mr. Singh)
Great job on the recent activities! Please remind Dev Agarwal to complete any pending homework.
For any queries, contact us at:
📞 98765678992 | 📧 Ushodayameritschool@gmail.com
Best regards,
Ushodaya Merit School Team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</si>
</sst>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"/>
    <numFmt numFmtId="166" formatCode="yyyy-mm-dd hh:mm:ss"/>
    <numFmt numFmtId="167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12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>
        <color theme="1"/>
      </font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25"/>
    <col customWidth="1" min="6" max="6" width="39.63"/>
    <col customWidth="1" min="7" max="7" width="30.63"/>
    <col customWidth="1" min="10" max="10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5.0</v>
      </c>
      <c r="D2" s="1" t="s">
        <v>12</v>
      </c>
      <c r="E2" s="1" t="s">
        <v>13</v>
      </c>
      <c r="F2" s="2" t="s">
        <v>14</v>
      </c>
      <c r="G2" s="1" t="s">
        <v>15</v>
      </c>
      <c r="H2" s="3">
        <f>+919876543211</f>
        <v>919876543211</v>
      </c>
      <c r="I2" s="3">
        <f>+919876543212</f>
        <v>919876543212</v>
      </c>
      <c r="J2" s="1" t="s">
        <v>16</v>
      </c>
    </row>
    <row r="3">
      <c r="A3" s="1" t="s">
        <v>17</v>
      </c>
      <c r="B3" s="1" t="s">
        <v>18</v>
      </c>
      <c r="C3" s="1">
        <v>5.0</v>
      </c>
      <c r="D3" s="1" t="s">
        <v>12</v>
      </c>
      <c r="E3" s="1" t="s">
        <v>19</v>
      </c>
      <c r="F3" s="2" t="s">
        <v>14</v>
      </c>
      <c r="G3" s="1" t="s">
        <v>15</v>
      </c>
      <c r="H3" s="3">
        <f>+919876543214</f>
        <v>919876543214</v>
      </c>
      <c r="I3" s="3">
        <f>+919876543215</f>
        <v>919876543215</v>
      </c>
      <c r="J3" s="1" t="s">
        <v>20</v>
      </c>
    </row>
    <row r="4">
      <c r="A4" s="1" t="s">
        <v>21</v>
      </c>
      <c r="B4" s="1" t="s">
        <v>22</v>
      </c>
      <c r="C4" s="1">
        <v>6.0</v>
      </c>
      <c r="D4" s="1" t="s">
        <v>23</v>
      </c>
      <c r="E4" s="1" t="s">
        <v>24</v>
      </c>
      <c r="F4" s="2" t="s">
        <v>25</v>
      </c>
      <c r="G4" s="1" t="s">
        <v>15</v>
      </c>
      <c r="H4" s="3">
        <f>+919876543217</f>
        <v>919876543217</v>
      </c>
      <c r="I4" s="3">
        <f>+919876543218</f>
        <v>919876543218</v>
      </c>
      <c r="J4" s="1" t="s">
        <v>16</v>
      </c>
    </row>
    <row r="5">
      <c r="A5" s="1" t="s">
        <v>26</v>
      </c>
      <c r="B5" s="1" t="s">
        <v>27</v>
      </c>
      <c r="C5" s="1">
        <v>4.0</v>
      </c>
      <c r="D5" s="1" t="s">
        <v>12</v>
      </c>
      <c r="E5" s="1" t="s">
        <v>28</v>
      </c>
      <c r="F5" s="2" t="s">
        <v>29</v>
      </c>
      <c r="G5" s="1" t="s">
        <v>30</v>
      </c>
      <c r="H5" s="3">
        <f>+919876543220</f>
        <v>919876543220</v>
      </c>
      <c r="I5" s="3">
        <f>+919876543221</f>
        <v>919876543221</v>
      </c>
      <c r="J5" s="1" t="s">
        <v>16</v>
      </c>
    </row>
    <row r="6">
      <c r="A6" s="1" t="s">
        <v>31</v>
      </c>
      <c r="B6" s="1" t="s">
        <v>32</v>
      </c>
      <c r="C6" s="1">
        <v>7.0</v>
      </c>
      <c r="D6" s="1" t="s">
        <v>33</v>
      </c>
      <c r="E6" s="1" t="s">
        <v>34</v>
      </c>
      <c r="F6" s="2" t="s">
        <v>35</v>
      </c>
      <c r="G6" s="1" t="s">
        <v>36</v>
      </c>
      <c r="H6" s="3">
        <f>+919876543223</f>
        <v>919876543223</v>
      </c>
      <c r="I6" s="3">
        <f>+919876543224</f>
        <v>919876543224</v>
      </c>
      <c r="J6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3.13"/>
  </cols>
  <sheetData>
    <row r="1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38</v>
      </c>
      <c r="H1" s="1" t="s">
        <v>39</v>
      </c>
      <c r="I1" s="1" t="s">
        <v>40</v>
      </c>
      <c r="J1" s="1" t="s">
        <v>41</v>
      </c>
    </row>
    <row r="2">
      <c r="A2" s="4">
        <v>45907.0</v>
      </c>
      <c r="B2" s="1" t="s">
        <v>10</v>
      </c>
      <c r="C2" s="1" t="s">
        <v>11</v>
      </c>
      <c r="D2" s="1">
        <v>5.0</v>
      </c>
      <c r="E2" s="1" t="s">
        <v>12</v>
      </c>
      <c r="F2" s="1" t="s">
        <v>42</v>
      </c>
      <c r="G2" s="5">
        <v>0.34375</v>
      </c>
      <c r="H2" s="1" t="s">
        <v>43</v>
      </c>
      <c r="I2" s="1" t="s">
        <v>44</v>
      </c>
      <c r="J2" s="6">
        <v>45907.3440162037</v>
      </c>
    </row>
    <row r="3">
      <c r="A3" s="4">
        <v>45907.0</v>
      </c>
      <c r="B3" s="1" t="s">
        <v>17</v>
      </c>
      <c r="C3" s="1" t="s">
        <v>18</v>
      </c>
      <c r="D3" s="1">
        <v>5.0</v>
      </c>
      <c r="E3" s="1" t="s">
        <v>12</v>
      </c>
      <c r="F3" s="1" t="s">
        <v>45</v>
      </c>
      <c r="H3" s="1" t="s">
        <v>46</v>
      </c>
      <c r="I3" s="1" t="s">
        <v>44</v>
      </c>
      <c r="J3" s="6">
        <v>45907.3546875</v>
      </c>
    </row>
    <row r="4">
      <c r="A4" s="4">
        <v>45907.0</v>
      </c>
      <c r="B4" s="1" t="s">
        <v>21</v>
      </c>
      <c r="C4" s="1" t="s">
        <v>22</v>
      </c>
      <c r="D4" s="1">
        <v>6.0</v>
      </c>
      <c r="E4" s="1" t="s">
        <v>23</v>
      </c>
      <c r="F4" s="1" t="s">
        <v>47</v>
      </c>
      <c r="G4" s="5">
        <v>0.3645833333333333</v>
      </c>
      <c r="H4" s="1" t="s">
        <v>48</v>
      </c>
      <c r="I4" s="1" t="s">
        <v>49</v>
      </c>
      <c r="J4" s="6">
        <v>45907.36472222222</v>
      </c>
    </row>
    <row r="5">
      <c r="A5" s="4">
        <v>45907.0</v>
      </c>
      <c r="B5" s="1" t="s">
        <v>26</v>
      </c>
      <c r="C5" s="1" t="s">
        <v>27</v>
      </c>
      <c r="D5" s="1">
        <v>4.0</v>
      </c>
      <c r="E5" s="1" t="s">
        <v>12</v>
      </c>
      <c r="F5" s="1" t="s">
        <v>42</v>
      </c>
      <c r="G5" s="5">
        <v>0.3402777777777778</v>
      </c>
      <c r="H5" s="1" t="s">
        <v>50</v>
      </c>
      <c r="I5" s="1" t="s">
        <v>51</v>
      </c>
      <c r="J5" s="6">
        <v>45907.34045138889</v>
      </c>
    </row>
    <row r="6">
      <c r="A6" s="4">
        <v>45907.0</v>
      </c>
      <c r="B6" s="1" t="s">
        <v>31</v>
      </c>
      <c r="C6" s="1" t="s">
        <v>32</v>
      </c>
      <c r="D6" s="1">
        <v>7.0</v>
      </c>
      <c r="E6" s="1" t="s">
        <v>33</v>
      </c>
      <c r="F6" s="1" t="s">
        <v>52</v>
      </c>
      <c r="G6" s="5">
        <v>0.3472222222222222</v>
      </c>
      <c r="H6" s="1" t="s">
        <v>53</v>
      </c>
      <c r="I6" s="1" t="s">
        <v>54</v>
      </c>
      <c r="J6" s="6">
        <v>45907.34756944444</v>
      </c>
    </row>
    <row r="7">
      <c r="F7" s="3"/>
    </row>
    <row r="8">
      <c r="F8" s="3"/>
    </row>
    <row r="9">
      <c r="F9" s="3"/>
    </row>
    <row r="10">
      <c r="F10" s="3"/>
    </row>
    <row r="11">
      <c r="F11" s="3"/>
    </row>
    <row r="12">
      <c r="F12" s="3"/>
    </row>
    <row r="13">
      <c r="F13" s="3"/>
    </row>
    <row r="14">
      <c r="F14" s="3"/>
    </row>
    <row r="15">
      <c r="F15" s="3"/>
    </row>
    <row r="16">
      <c r="F16" s="3"/>
    </row>
    <row r="17">
      <c r="F17" s="3"/>
    </row>
    <row r="18">
      <c r="F18" s="3"/>
    </row>
    <row r="19">
      <c r="F19" s="3"/>
    </row>
    <row r="20">
      <c r="F20" s="3"/>
    </row>
    <row r="21">
      <c r="F21" s="3"/>
    </row>
    <row r="22">
      <c r="F22" s="3"/>
    </row>
    <row r="23">
      <c r="F23" s="3"/>
    </row>
    <row r="24">
      <c r="F24" s="3"/>
    </row>
    <row r="25">
      <c r="F25" s="3"/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</sheetData>
  <conditionalFormatting sqref="F2:F994">
    <cfRule type="colorScale" priority="1">
      <colorScale>
        <cfvo type="min"/>
        <cfvo type="max"/>
        <color rgb="FF34A853"/>
        <color rgb="FF57BB8A"/>
      </colorScale>
    </cfRule>
  </conditionalFormatting>
  <conditionalFormatting sqref="F2:F994">
    <cfRule type="cellIs" dxfId="0" priority="2" operator="equal">
      <formula>"Present"</formula>
    </cfRule>
  </conditionalFormatting>
  <conditionalFormatting sqref="F2:F994">
    <cfRule type="cellIs" dxfId="1" priority="3" operator="equal">
      <formula>"Absent"</formula>
    </cfRule>
  </conditionalFormatting>
  <conditionalFormatting sqref="F1:F994">
    <cfRule type="cellIs" dxfId="2" priority="4" operator="equal">
      <formula>"Late"</formula>
    </cfRule>
  </conditionalFormatting>
  <conditionalFormatting sqref="F2:F994">
    <cfRule type="cellIs" dxfId="3" priority="5" operator="equal">
      <formula>"Sick Leave "</formula>
    </cfRule>
  </conditionalFormatting>
  <conditionalFormatting sqref="F2:F994">
    <cfRule type="cellIs" dxfId="4" priority="6" operator="equal">
      <formula>"Half Day"</formula>
    </cfRule>
  </conditionalFormatting>
  <dataValidations>
    <dataValidation type="list" allowBlank="1" showErrorMessage="1" sqref="F2:F994">
      <formula1>"Absent,Half Day,Late,Present,Sick Leave,Early Dismissal"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9</v>
      </c>
      <c r="K1" s="1" t="s">
        <v>60</v>
      </c>
      <c r="L1" s="1" t="s">
        <v>61</v>
      </c>
      <c r="M1" s="1" t="s">
        <v>62</v>
      </c>
      <c r="N1" s="1" t="s">
        <v>63</v>
      </c>
    </row>
    <row r="2">
      <c r="A2" s="4">
        <v>45907.0</v>
      </c>
      <c r="B2" s="4">
        <v>45908.0</v>
      </c>
      <c r="C2" s="1" t="s">
        <v>10</v>
      </c>
      <c r="D2" s="1" t="s">
        <v>11</v>
      </c>
      <c r="E2" s="1">
        <v>5.0</v>
      </c>
      <c r="F2" s="1" t="s">
        <v>12</v>
      </c>
      <c r="G2" s="1" t="s">
        <v>64</v>
      </c>
      <c r="H2" s="1" t="s">
        <v>65</v>
      </c>
      <c r="I2" s="1" t="s">
        <v>66</v>
      </c>
      <c r="J2" s="1" t="s">
        <v>67</v>
      </c>
      <c r="N2" s="1" t="s">
        <v>44</v>
      </c>
    </row>
    <row r="3">
      <c r="A3" s="4">
        <v>45907.0</v>
      </c>
      <c r="B3" s="4">
        <v>45909.0</v>
      </c>
      <c r="C3" s="1" t="s">
        <v>10</v>
      </c>
      <c r="D3" s="1" t="s">
        <v>11</v>
      </c>
      <c r="E3" s="1">
        <v>5.0</v>
      </c>
      <c r="F3" s="1" t="s">
        <v>12</v>
      </c>
      <c r="G3" s="1" t="s">
        <v>68</v>
      </c>
      <c r="H3" s="1" t="s">
        <v>69</v>
      </c>
      <c r="I3" s="1" t="s">
        <v>70</v>
      </c>
      <c r="J3" s="1" t="s">
        <v>67</v>
      </c>
      <c r="K3" s="4"/>
      <c r="N3" s="1" t="s">
        <v>71</v>
      </c>
    </row>
    <row r="4">
      <c r="A4" s="4">
        <v>45907.0</v>
      </c>
      <c r="B4" s="4">
        <v>45908.0</v>
      </c>
      <c r="C4" s="1" t="s">
        <v>17</v>
      </c>
      <c r="D4" s="1" t="s">
        <v>18</v>
      </c>
      <c r="E4" s="1">
        <v>5.0</v>
      </c>
      <c r="F4" s="1" t="s">
        <v>12</v>
      </c>
      <c r="G4" s="1" t="s">
        <v>72</v>
      </c>
      <c r="H4" s="1" t="s">
        <v>73</v>
      </c>
      <c r="I4" s="1" t="s">
        <v>74</v>
      </c>
      <c r="J4" s="1" t="s">
        <v>75</v>
      </c>
      <c r="N4" s="1" t="s">
        <v>76</v>
      </c>
    </row>
    <row r="5">
      <c r="A5" s="4">
        <v>45907.0</v>
      </c>
      <c r="B5" s="4">
        <v>45910.0</v>
      </c>
      <c r="C5" s="1" t="s">
        <v>21</v>
      </c>
      <c r="D5" s="1" t="s">
        <v>22</v>
      </c>
      <c r="E5" s="1">
        <v>6.0</v>
      </c>
      <c r="F5" s="1" t="s">
        <v>23</v>
      </c>
      <c r="G5" s="1" t="s">
        <v>77</v>
      </c>
      <c r="H5" s="1" t="s">
        <v>78</v>
      </c>
      <c r="I5" s="1" t="s">
        <v>79</v>
      </c>
      <c r="J5" s="1" t="s">
        <v>67</v>
      </c>
      <c r="K5" s="4"/>
      <c r="N5" s="1" t="s">
        <v>80</v>
      </c>
    </row>
    <row r="6">
      <c r="A6" s="4">
        <v>45907.0</v>
      </c>
      <c r="B6" s="4">
        <v>45908.0</v>
      </c>
      <c r="C6" s="1" t="s">
        <v>26</v>
      </c>
      <c r="D6" s="1" t="s">
        <v>27</v>
      </c>
      <c r="E6" s="1">
        <v>4.0</v>
      </c>
      <c r="F6" s="1" t="s">
        <v>12</v>
      </c>
      <c r="G6" s="1" t="s">
        <v>64</v>
      </c>
      <c r="H6" s="1" t="s">
        <v>81</v>
      </c>
      <c r="I6" s="1" t="s">
        <v>82</v>
      </c>
      <c r="J6" s="1" t="s">
        <v>47</v>
      </c>
      <c r="N6" s="1" t="s">
        <v>44</v>
      </c>
    </row>
    <row r="7">
      <c r="A7" s="4">
        <v>45907.0</v>
      </c>
      <c r="B7" s="4">
        <v>45909.0</v>
      </c>
      <c r="C7" s="1" t="s">
        <v>31</v>
      </c>
      <c r="D7" s="1" t="s">
        <v>32</v>
      </c>
      <c r="E7" s="1">
        <v>7.0</v>
      </c>
      <c r="F7" s="1" t="s">
        <v>33</v>
      </c>
      <c r="G7" s="1" t="s">
        <v>68</v>
      </c>
      <c r="H7" s="1" t="s">
        <v>83</v>
      </c>
      <c r="I7" s="1" t="s">
        <v>84</v>
      </c>
      <c r="J7" s="1" t="s">
        <v>67</v>
      </c>
      <c r="N7" s="1" t="s">
        <v>71</v>
      </c>
    </row>
    <row r="8">
      <c r="J8" s="3"/>
    </row>
    <row r="9">
      <c r="J9" s="3"/>
    </row>
    <row r="10">
      <c r="J10" s="3"/>
    </row>
    <row r="11">
      <c r="J11" s="3"/>
    </row>
    <row r="12">
      <c r="J12" s="3"/>
    </row>
    <row r="13">
      <c r="J13" s="3"/>
    </row>
    <row r="14">
      <c r="J14" s="3"/>
    </row>
    <row r="15">
      <c r="J15" s="3"/>
    </row>
    <row r="16">
      <c r="J16" s="3"/>
    </row>
    <row r="17">
      <c r="J17" s="3"/>
    </row>
    <row r="18">
      <c r="J18" s="3"/>
    </row>
    <row r="19">
      <c r="J19" s="3"/>
    </row>
    <row r="20">
      <c r="J20" s="3"/>
    </row>
    <row r="21">
      <c r="J21" s="3"/>
    </row>
    <row r="22">
      <c r="J22" s="3"/>
    </row>
    <row r="23">
      <c r="J23" s="3"/>
    </row>
    <row r="24">
      <c r="J24" s="3"/>
    </row>
    <row r="25">
      <c r="J25" s="3"/>
    </row>
    <row r="26">
      <c r="J26" s="3"/>
    </row>
    <row r="27">
      <c r="J27" s="3"/>
    </row>
    <row r="28">
      <c r="J28" s="3"/>
    </row>
    <row r="29">
      <c r="J29" s="3"/>
    </row>
    <row r="30">
      <c r="J30" s="3"/>
    </row>
    <row r="31">
      <c r="J31" s="3"/>
    </row>
    <row r="32">
      <c r="J32" s="3"/>
    </row>
    <row r="33">
      <c r="J33" s="3"/>
    </row>
    <row r="34">
      <c r="J34" s="3"/>
    </row>
    <row r="35">
      <c r="J35" s="3"/>
    </row>
    <row r="36">
      <c r="J36" s="3"/>
    </row>
    <row r="37">
      <c r="J37" s="3"/>
    </row>
    <row r="38">
      <c r="J38" s="3"/>
    </row>
    <row r="39">
      <c r="J39" s="3"/>
    </row>
    <row r="40">
      <c r="J40" s="3"/>
    </row>
    <row r="41">
      <c r="J41" s="3"/>
    </row>
    <row r="42">
      <c r="J42" s="3"/>
    </row>
    <row r="43">
      <c r="J43" s="3"/>
    </row>
    <row r="44">
      <c r="J44" s="3"/>
    </row>
    <row r="45">
      <c r="J45" s="3"/>
    </row>
    <row r="46">
      <c r="J46" s="3"/>
    </row>
    <row r="47">
      <c r="J47" s="3"/>
    </row>
    <row r="48">
      <c r="J48" s="3"/>
    </row>
    <row r="49">
      <c r="J49" s="3"/>
    </row>
    <row r="50">
      <c r="J50" s="3"/>
    </row>
    <row r="51">
      <c r="J51" s="3"/>
    </row>
    <row r="52">
      <c r="J52" s="3"/>
    </row>
    <row r="53">
      <c r="J53" s="3"/>
    </row>
    <row r="54">
      <c r="J54" s="3"/>
    </row>
    <row r="55">
      <c r="J55" s="3"/>
    </row>
    <row r="56">
      <c r="J56" s="3"/>
    </row>
    <row r="57">
      <c r="J57" s="3"/>
    </row>
    <row r="58">
      <c r="J58" s="3"/>
    </row>
    <row r="59">
      <c r="J59" s="3"/>
    </row>
    <row r="60">
      <c r="J60" s="3"/>
    </row>
    <row r="61">
      <c r="J61" s="3"/>
    </row>
    <row r="62">
      <c r="J62" s="3"/>
    </row>
    <row r="63">
      <c r="J63" s="3"/>
    </row>
    <row r="64">
      <c r="J64" s="3"/>
    </row>
    <row r="65">
      <c r="J65" s="3"/>
    </row>
    <row r="66">
      <c r="J66" s="3"/>
    </row>
    <row r="67">
      <c r="J67" s="3"/>
    </row>
    <row r="68">
      <c r="J68" s="3"/>
    </row>
    <row r="69">
      <c r="J69" s="3"/>
    </row>
    <row r="70">
      <c r="J70" s="3"/>
    </row>
    <row r="71">
      <c r="J71" s="3"/>
    </row>
    <row r="72">
      <c r="J72" s="3"/>
    </row>
    <row r="73">
      <c r="J73" s="3"/>
    </row>
    <row r="74">
      <c r="J74" s="3"/>
    </row>
    <row r="75">
      <c r="J75" s="3"/>
    </row>
    <row r="76">
      <c r="J76" s="3"/>
    </row>
    <row r="77">
      <c r="J77" s="3"/>
    </row>
    <row r="78">
      <c r="J78" s="3"/>
    </row>
    <row r="79">
      <c r="J79" s="3"/>
    </row>
    <row r="80">
      <c r="J80" s="3"/>
    </row>
    <row r="81">
      <c r="J81" s="3"/>
    </row>
    <row r="82">
      <c r="J82" s="3"/>
    </row>
    <row r="83">
      <c r="J83" s="3"/>
    </row>
    <row r="84">
      <c r="J84" s="3"/>
    </row>
    <row r="85">
      <c r="J85" s="3"/>
    </row>
    <row r="86">
      <c r="J86" s="3"/>
    </row>
    <row r="87">
      <c r="J87" s="3"/>
    </row>
    <row r="88">
      <c r="J88" s="3"/>
    </row>
    <row r="89">
      <c r="J89" s="3"/>
    </row>
    <row r="90">
      <c r="J90" s="3"/>
    </row>
    <row r="91">
      <c r="J91" s="3"/>
    </row>
    <row r="92">
      <c r="J92" s="3"/>
    </row>
    <row r="93">
      <c r="J93" s="3"/>
    </row>
    <row r="94">
      <c r="J94" s="3"/>
    </row>
    <row r="95">
      <c r="J95" s="3"/>
    </row>
    <row r="96">
      <c r="J96" s="3"/>
    </row>
    <row r="97">
      <c r="J97" s="3"/>
    </row>
    <row r="98">
      <c r="J98" s="3"/>
    </row>
    <row r="99">
      <c r="J99" s="3"/>
    </row>
    <row r="100">
      <c r="J100" s="3"/>
    </row>
    <row r="101">
      <c r="J101" s="3"/>
    </row>
    <row r="102">
      <c r="J102" s="3"/>
    </row>
    <row r="103">
      <c r="J103" s="3"/>
    </row>
    <row r="104">
      <c r="J104" s="3"/>
    </row>
    <row r="105">
      <c r="J105" s="3"/>
    </row>
    <row r="106">
      <c r="J106" s="3"/>
    </row>
    <row r="107">
      <c r="J107" s="3"/>
    </row>
    <row r="108">
      <c r="J108" s="3"/>
    </row>
    <row r="109">
      <c r="J109" s="3"/>
    </row>
    <row r="110">
      <c r="J110" s="3"/>
    </row>
    <row r="111">
      <c r="J111" s="3"/>
    </row>
    <row r="112">
      <c r="J112" s="3"/>
    </row>
    <row r="113">
      <c r="J113" s="3"/>
    </row>
    <row r="114">
      <c r="J114" s="3"/>
    </row>
    <row r="115">
      <c r="J115" s="3"/>
    </row>
    <row r="116">
      <c r="J116" s="3"/>
    </row>
    <row r="117">
      <c r="J117" s="3"/>
    </row>
    <row r="118">
      <c r="J118" s="3"/>
    </row>
    <row r="119">
      <c r="J119" s="3"/>
    </row>
    <row r="120">
      <c r="J120" s="3"/>
    </row>
    <row r="121">
      <c r="J121" s="3"/>
    </row>
    <row r="122">
      <c r="J122" s="3"/>
    </row>
    <row r="123">
      <c r="J123" s="3"/>
    </row>
    <row r="124">
      <c r="J124" s="3"/>
    </row>
    <row r="125">
      <c r="J125" s="3"/>
    </row>
    <row r="126">
      <c r="J126" s="3"/>
    </row>
    <row r="127">
      <c r="J127" s="3"/>
    </row>
    <row r="128">
      <c r="J128" s="3"/>
    </row>
    <row r="129">
      <c r="J129" s="3"/>
    </row>
    <row r="130">
      <c r="J130" s="3"/>
    </row>
    <row r="131">
      <c r="J131" s="3"/>
    </row>
    <row r="132">
      <c r="J132" s="3"/>
    </row>
    <row r="133">
      <c r="J133" s="3"/>
    </row>
    <row r="134">
      <c r="J134" s="3"/>
    </row>
    <row r="135">
      <c r="J135" s="3"/>
    </row>
    <row r="136">
      <c r="J136" s="3"/>
    </row>
    <row r="137">
      <c r="J137" s="3"/>
    </row>
    <row r="138">
      <c r="J138" s="3"/>
    </row>
    <row r="139">
      <c r="J139" s="3"/>
    </row>
    <row r="140">
      <c r="J140" s="3"/>
    </row>
    <row r="141">
      <c r="J141" s="3"/>
    </row>
    <row r="142">
      <c r="J142" s="3"/>
    </row>
    <row r="143">
      <c r="J143" s="3"/>
    </row>
    <row r="144">
      <c r="J144" s="3"/>
    </row>
    <row r="145">
      <c r="J145" s="3"/>
    </row>
    <row r="146">
      <c r="J146" s="3"/>
    </row>
    <row r="147">
      <c r="J147" s="3"/>
    </row>
    <row r="148">
      <c r="J148" s="3"/>
    </row>
    <row r="149">
      <c r="J149" s="3"/>
    </row>
    <row r="150">
      <c r="J150" s="3"/>
    </row>
    <row r="151">
      <c r="J151" s="3"/>
    </row>
    <row r="152">
      <c r="J152" s="3"/>
    </row>
    <row r="153">
      <c r="J153" s="3"/>
    </row>
    <row r="154">
      <c r="J154" s="3"/>
    </row>
    <row r="155">
      <c r="J155" s="3"/>
    </row>
    <row r="156">
      <c r="J156" s="3"/>
    </row>
    <row r="157">
      <c r="J157" s="3"/>
    </row>
    <row r="158">
      <c r="J158" s="3"/>
    </row>
    <row r="159">
      <c r="J159" s="3"/>
    </row>
    <row r="160">
      <c r="J160" s="3"/>
    </row>
    <row r="161">
      <c r="J161" s="3"/>
    </row>
    <row r="162">
      <c r="J162" s="3"/>
    </row>
    <row r="163">
      <c r="J163" s="3"/>
    </row>
    <row r="164">
      <c r="J164" s="3"/>
    </row>
    <row r="165">
      <c r="J165" s="3"/>
    </row>
    <row r="166">
      <c r="J166" s="3"/>
    </row>
    <row r="167">
      <c r="J167" s="3"/>
    </row>
    <row r="168">
      <c r="J168" s="3"/>
    </row>
    <row r="169">
      <c r="J169" s="3"/>
    </row>
    <row r="170">
      <c r="J170" s="3"/>
    </row>
    <row r="171">
      <c r="J171" s="3"/>
    </row>
    <row r="172">
      <c r="J172" s="3"/>
    </row>
    <row r="173">
      <c r="J173" s="3"/>
    </row>
    <row r="174">
      <c r="J174" s="3"/>
    </row>
    <row r="175">
      <c r="J175" s="3"/>
    </row>
    <row r="176">
      <c r="J176" s="3"/>
    </row>
    <row r="177">
      <c r="J177" s="3"/>
    </row>
    <row r="178">
      <c r="J178" s="3"/>
    </row>
    <row r="179">
      <c r="J179" s="3"/>
    </row>
    <row r="180">
      <c r="J180" s="3"/>
    </row>
    <row r="181">
      <c r="J181" s="3"/>
    </row>
    <row r="182">
      <c r="J182" s="3"/>
    </row>
    <row r="183">
      <c r="J183" s="3"/>
    </row>
    <row r="184">
      <c r="J184" s="3"/>
    </row>
    <row r="185">
      <c r="J185" s="3"/>
    </row>
    <row r="186">
      <c r="J186" s="3"/>
    </row>
    <row r="187">
      <c r="J187" s="3"/>
    </row>
    <row r="188">
      <c r="J188" s="3"/>
    </row>
    <row r="189">
      <c r="J189" s="3"/>
    </row>
    <row r="190">
      <c r="J190" s="3"/>
    </row>
    <row r="191">
      <c r="J191" s="3"/>
    </row>
    <row r="192">
      <c r="J192" s="3"/>
    </row>
    <row r="193">
      <c r="J193" s="3"/>
    </row>
    <row r="194">
      <c r="J194" s="3"/>
    </row>
    <row r="195">
      <c r="J195" s="3"/>
    </row>
    <row r="196">
      <c r="J196" s="3"/>
    </row>
    <row r="197">
      <c r="J197" s="3"/>
    </row>
    <row r="198">
      <c r="J198" s="3"/>
    </row>
    <row r="199">
      <c r="J199" s="3"/>
    </row>
    <row r="200">
      <c r="J200" s="3"/>
    </row>
    <row r="201">
      <c r="J201" s="3"/>
    </row>
    <row r="202">
      <c r="J202" s="3"/>
    </row>
    <row r="203">
      <c r="J203" s="3"/>
    </row>
    <row r="204">
      <c r="J204" s="3"/>
    </row>
    <row r="205">
      <c r="J205" s="3"/>
    </row>
    <row r="206">
      <c r="J206" s="3"/>
    </row>
    <row r="207">
      <c r="J207" s="3"/>
    </row>
    <row r="208">
      <c r="J208" s="3"/>
    </row>
    <row r="209">
      <c r="J209" s="3"/>
    </row>
    <row r="210">
      <c r="J210" s="3"/>
    </row>
    <row r="211">
      <c r="J211" s="3"/>
    </row>
    <row r="212">
      <c r="J212" s="3"/>
    </row>
    <row r="213">
      <c r="J213" s="3"/>
    </row>
    <row r="214">
      <c r="J214" s="3"/>
    </row>
    <row r="215">
      <c r="J215" s="3"/>
    </row>
    <row r="216">
      <c r="J216" s="3"/>
    </row>
    <row r="217">
      <c r="J217" s="3"/>
    </row>
    <row r="218">
      <c r="J218" s="3"/>
    </row>
    <row r="219">
      <c r="J219" s="3"/>
    </row>
    <row r="220">
      <c r="J220" s="3"/>
    </row>
    <row r="221">
      <c r="J221" s="3"/>
    </row>
    <row r="222">
      <c r="J222" s="3"/>
    </row>
    <row r="223">
      <c r="J223" s="3"/>
    </row>
    <row r="224">
      <c r="J224" s="3"/>
    </row>
    <row r="225">
      <c r="J225" s="3"/>
    </row>
    <row r="226">
      <c r="J226" s="3"/>
    </row>
    <row r="227">
      <c r="J227" s="3"/>
    </row>
    <row r="228">
      <c r="J228" s="3"/>
    </row>
    <row r="229">
      <c r="J229" s="3"/>
    </row>
    <row r="230">
      <c r="J230" s="3"/>
    </row>
    <row r="231">
      <c r="J231" s="3"/>
    </row>
    <row r="232">
      <c r="J232" s="3"/>
    </row>
    <row r="233">
      <c r="J233" s="3"/>
    </row>
    <row r="234">
      <c r="J234" s="3"/>
    </row>
    <row r="235">
      <c r="J235" s="3"/>
    </row>
    <row r="236">
      <c r="J236" s="3"/>
    </row>
    <row r="237">
      <c r="J237" s="3"/>
    </row>
    <row r="238">
      <c r="J238" s="3"/>
    </row>
    <row r="239">
      <c r="J239" s="3"/>
    </row>
    <row r="240">
      <c r="J240" s="3"/>
    </row>
    <row r="241">
      <c r="J241" s="3"/>
    </row>
    <row r="242">
      <c r="J242" s="3"/>
    </row>
    <row r="243">
      <c r="J243" s="3"/>
    </row>
    <row r="244">
      <c r="J244" s="3"/>
    </row>
    <row r="245">
      <c r="J245" s="3"/>
    </row>
    <row r="246">
      <c r="J246" s="3"/>
    </row>
    <row r="247">
      <c r="J247" s="3"/>
    </row>
    <row r="248">
      <c r="J248" s="3"/>
    </row>
    <row r="249">
      <c r="J249" s="3"/>
    </row>
    <row r="250">
      <c r="J250" s="3"/>
    </row>
    <row r="251">
      <c r="J251" s="3"/>
    </row>
    <row r="252">
      <c r="J252" s="3"/>
    </row>
    <row r="253">
      <c r="J253" s="3"/>
    </row>
    <row r="254">
      <c r="J254" s="3"/>
    </row>
    <row r="255">
      <c r="J255" s="3"/>
    </row>
    <row r="256">
      <c r="J256" s="3"/>
    </row>
    <row r="257">
      <c r="J257" s="3"/>
    </row>
    <row r="258">
      <c r="J258" s="3"/>
    </row>
    <row r="259">
      <c r="J259" s="3"/>
    </row>
    <row r="260">
      <c r="J260" s="3"/>
    </row>
    <row r="261">
      <c r="J261" s="3"/>
    </row>
    <row r="262">
      <c r="J262" s="3"/>
    </row>
    <row r="263">
      <c r="J263" s="3"/>
    </row>
    <row r="264">
      <c r="J264" s="3"/>
    </row>
    <row r="265">
      <c r="J265" s="3"/>
    </row>
    <row r="266">
      <c r="J266" s="3"/>
    </row>
    <row r="267">
      <c r="J267" s="3"/>
    </row>
    <row r="268">
      <c r="J268" s="3"/>
    </row>
    <row r="269">
      <c r="J269" s="3"/>
    </row>
    <row r="270">
      <c r="J270" s="3"/>
    </row>
    <row r="271">
      <c r="J271" s="3"/>
    </row>
    <row r="272">
      <c r="J272" s="3"/>
    </row>
    <row r="273">
      <c r="J273" s="3"/>
    </row>
    <row r="274">
      <c r="J274" s="3"/>
    </row>
    <row r="275">
      <c r="J275" s="3"/>
    </row>
    <row r="276">
      <c r="J276" s="3"/>
    </row>
    <row r="277">
      <c r="J277" s="3"/>
    </row>
    <row r="278">
      <c r="J278" s="3"/>
    </row>
    <row r="279">
      <c r="J279" s="3"/>
    </row>
    <row r="280">
      <c r="J280" s="3"/>
    </row>
    <row r="281">
      <c r="J281" s="3"/>
    </row>
    <row r="282">
      <c r="J282" s="3"/>
    </row>
    <row r="283">
      <c r="J283" s="3"/>
    </row>
    <row r="284">
      <c r="J284" s="3"/>
    </row>
    <row r="285">
      <c r="J285" s="3"/>
    </row>
    <row r="286">
      <c r="J286" s="3"/>
    </row>
    <row r="287">
      <c r="J287" s="3"/>
    </row>
    <row r="288">
      <c r="J288" s="3"/>
    </row>
    <row r="289">
      <c r="J289" s="3"/>
    </row>
    <row r="290">
      <c r="J290" s="3"/>
    </row>
    <row r="291">
      <c r="J291" s="3"/>
    </row>
    <row r="292">
      <c r="J292" s="3"/>
    </row>
    <row r="293">
      <c r="J293" s="3"/>
    </row>
    <row r="294">
      <c r="J294" s="3"/>
    </row>
    <row r="295">
      <c r="J295" s="3"/>
    </row>
    <row r="296">
      <c r="J296" s="3"/>
    </row>
    <row r="297">
      <c r="J297" s="3"/>
    </row>
    <row r="298">
      <c r="J298" s="3"/>
    </row>
    <row r="299">
      <c r="J299" s="3"/>
    </row>
    <row r="300">
      <c r="J300" s="3"/>
    </row>
    <row r="301">
      <c r="J301" s="3"/>
    </row>
    <row r="302">
      <c r="J302" s="3"/>
    </row>
    <row r="303">
      <c r="J303" s="3"/>
    </row>
    <row r="304">
      <c r="J304" s="3"/>
    </row>
    <row r="305">
      <c r="J305" s="3"/>
    </row>
    <row r="306">
      <c r="J306" s="3"/>
    </row>
    <row r="307">
      <c r="J307" s="3"/>
    </row>
    <row r="308">
      <c r="J308" s="3"/>
    </row>
    <row r="309">
      <c r="J309" s="3"/>
    </row>
    <row r="310">
      <c r="J310" s="3"/>
    </row>
    <row r="311">
      <c r="J311" s="3"/>
    </row>
    <row r="312">
      <c r="J312" s="3"/>
    </row>
    <row r="313">
      <c r="J313" s="3"/>
    </row>
    <row r="314">
      <c r="J314" s="3"/>
    </row>
    <row r="315">
      <c r="J315" s="3"/>
    </row>
    <row r="316">
      <c r="J316" s="3"/>
    </row>
    <row r="317">
      <c r="J317" s="3"/>
    </row>
    <row r="318">
      <c r="J318" s="3"/>
    </row>
    <row r="319">
      <c r="J319" s="3"/>
    </row>
    <row r="320">
      <c r="J320" s="3"/>
    </row>
    <row r="321">
      <c r="J321" s="3"/>
    </row>
    <row r="322">
      <c r="J322" s="3"/>
    </row>
    <row r="323">
      <c r="J323" s="3"/>
    </row>
    <row r="324">
      <c r="J324" s="3"/>
    </row>
    <row r="325">
      <c r="J325" s="3"/>
    </row>
    <row r="326">
      <c r="J326" s="3"/>
    </row>
    <row r="327">
      <c r="J327" s="3"/>
    </row>
    <row r="328">
      <c r="J328" s="3"/>
    </row>
    <row r="329">
      <c r="J329" s="3"/>
    </row>
    <row r="330">
      <c r="J330" s="3"/>
    </row>
    <row r="331">
      <c r="J331" s="3"/>
    </row>
    <row r="332">
      <c r="J332" s="3"/>
    </row>
    <row r="333">
      <c r="J333" s="3"/>
    </row>
    <row r="334">
      <c r="J334" s="3"/>
    </row>
    <row r="335">
      <c r="J335" s="3"/>
    </row>
    <row r="336">
      <c r="J336" s="3"/>
    </row>
    <row r="337">
      <c r="J337" s="3"/>
    </row>
    <row r="338">
      <c r="J338" s="3"/>
    </row>
    <row r="339">
      <c r="J339" s="3"/>
    </row>
    <row r="340">
      <c r="J340" s="3"/>
    </row>
    <row r="341">
      <c r="J341" s="3"/>
    </row>
    <row r="342">
      <c r="J342" s="3"/>
    </row>
    <row r="343">
      <c r="J343" s="3"/>
    </row>
    <row r="344">
      <c r="J344" s="3"/>
    </row>
    <row r="345">
      <c r="J345" s="3"/>
    </row>
    <row r="346">
      <c r="J346" s="3"/>
    </row>
    <row r="347">
      <c r="J347" s="3"/>
    </row>
    <row r="348">
      <c r="J348" s="3"/>
    </row>
    <row r="349">
      <c r="J349" s="3"/>
    </row>
    <row r="350">
      <c r="J350" s="3"/>
    </row>
    <row r="351">
      <c r="J351" s="3"/>
    </row>
    <row r="352">
      <c r="J352" s="3"/>
    </row>
    <row r="353">
      <c r="J353" s="3"/>
    </row>
    <row r="354">
      <c r="J354" s="3"/>
    </row>
    <row r="355">
      <c r="J355" s="3"/>
    </row>
    <row r="356">
      <c r="J356" s="3"/>
    </row>
    <row r="357">
      <c r="J357" s="3"/>
    </row>
    <row r="358">
      <c r="J358" s="3"/>
    </row>
    <row r="359">
      <c r="J359" s="3"/>
    </row>
    <row r="360">
      <c r="J360" s="3"/>
    </row>
    <row r="361">
      <c r="J361" s="3"/>
    </row>
    <row r="362">
      <c r="J362" s="3"/>
    </row>
    <row r="363">
      <c r="J363" s="3"/>
    </row>
    <row r="364">
      <c r="J364" s="3"/>
    </row>
    <row r="365">
      <c r="J365" s="3"/>
    </row>
    <row r="366">
      <c r="J366" s="3"/>
    </row>
    <row r="367">
      <c r="J367" s="3"/>
    </row>
    <row r="368">
      <c r="J368" s="3"/>
    </row>
    <row r="369">
      <c r="J369" s="3"/>
    </row>
    <row r="370">
      <c r="J370" s="3"/>
    </row>
    <row r="371">
      <c r="J371" s="3"/>
    </row>
    <row r="372">
      <c r="J372" s="3"/>
    </row>
    <row r="373">
      <c r="J373" s="3"/>
    </row>
    <row r="374">
      <c r="J374" s="3"/>
    </row>
    <row r="375">
      <c r="J375" s="3"/>
    </row>
    <row r="376">
      <c r="J376" s="3"/>
    </row>
    <row r="377">
      <c r="J377" s="3"/>
    </row>
    <row r="378">
      <c r="J378" s="3"/>
    </row>
    <row r="379">
      <c r="J379" s="3"/>
    </row>
    <row r="380">
      <c r="J380" s="3"/>
    </row>
    <row r="381">
      <c r="J381" s="3"/>
    </row>
    <row r="382">
      <c r="J382" s="3"/>
    </row>
    <row r="383">
      <c r="J383" s="3"/>
    </row>
    <row r="384">
      <c r="J384" s="3"/>
    </row>
    <row r="385">
      <c r="J385" s="3"/>
    </row>
    <row r="386">
      <c r="J386" s="3"/>
    </row>
    <row r="387">
      <c r="J387" s="3"/>
    </row>
    <row r="388">
      <c r="J388" s="3"/>
    </row>
    <row r="389">
      <c r="J389" s="3"/>
    </row>
    <row r="390">
      <c r="J390" s="3"/>
    </row>
    <row r="391">
      <c r="J391" s="3"/>
    </row>
    <row r="392">
      <c r="J392" s="3"/>
    </row>
    <row r="393">
      <c r="J393" s="3"/>
    </row>
    <row r="394">
      <c r="J394" s="3"/>
    </row>
    <row r="395">
      <c r="J395" s="3"/>
    </row>
    <row r="396">
      <c r="J396" s="3"/>
    </row>
    <row r="397">
      <c r="J397" s="3"/>
    </row>
    <row r="398">
      <c r="J398" s="3"/>
    </row>
    <row r="399">
      <c r="J399" s="3"/>
    </row>
    <row r="400">
      <c r="J400" s="3"/>
    </row>
    <row r="401">
      <c r="J401" s="3"/>
    </row>
    <row r="402">
      <c r="J402" s="3"/>
    </row>
    <row r="403">
      <c r="J403" s="3"/>
    </row>
    <row r="404">
      <c r="J404" s="3"/>
    </row>
    <row r="405">
      <c r="J405" s="3"/>
    </row>
    <row r="406">
      <c r="J406" s="3"/>
    </row>
    <row r="407">
      <c r="J407" s="3"/>
    </row>
    <row r="408">
      <c r="J408" s="3"/>
    </row>
    <row r="409">
      <c r="J409" s="3"/>
    </row>
    <row r="410">
      <c r="J410" s="3"/>
    </row>
    <row r="411">
      <c r="J411" s="3"/>
    </row>
    <row r="412">
      <c r="J412" s="3"/>
    </row>
    <row r="413">
      <c r="J413" s="3"/>
    </row>
    <row r="414">
      <c r="J414" s="3"/>
    </row>
    <row r="415">
      <c r="J415" s="3"/>
    </row>
    <row r="416">
      <c r="J416" s="3"/>
    </row>
    <row r="417">
      <c r="J417" s="3"/>
    </row>
    <row r="418">
      <c r="J418" s="3"/>
    </row>
    <row r="419">
      <c r="J419" s="3"/>
    </row>
    <row r="420">
      <c r="J420" s="3"/>
    </row>
    <row r="421">
      <c r="J421" s="3"/>
    </row>
    <row r="422">
      <c r="J422" s="3"/>
    </row>
    <row r="423">
      <c r="J423" s="3"/>
    </row>
    <row r="424">
      <c r="J424" s="3"/>
    </row>
    <row r="425">
      <c r="J425" s="3"/>
    </row>
    <row r="426">
      <c r="J426" s="3"/>
    </row>
    <row r="427">
      <c r="J427" s="3"/>
    </row>
    <row r="428">
      <c r="J428" s="3"/>
    </row>
    <row r="429">
      <c r="J429" s="3"/>
    </row>
    <row r="430">
      <c r="J430" s="3"/>
    </row>
    <row r="431">
      <c r="J431" s="3"/>
    </row>
    <row r="432">
      <c r="J432" s="3"/>
    </row>
    <row r="433">
      <c r="J433" s="3"/>
    </row>
    <row r="434">
      <c r="J434" s="3"/>
    </row>
    <row r="435">
      <c r="J435" s="3"/>
    </row>
    <row r="436">
      <c r="J436" s="3"/>
    </row>
    <row r="437">
      <c r="J437" s="3"/>
    </row>
    <row r="438">
      <c r="J438" s="3"/>
    </row>
    <row r="439">
      <c r="J439" s="3"/>
    </row>
    <row r="440">
      <c r="J440" s="3"/>
    </row>
    <row r="441">
      <c r="J441" s="3"/>
    </row>
    <row r="442">
      <c r="J442" s="3"/>
    </row>
    <row r="443">
      <c r="J443" s="3"/>
    </row>
    <row r="444">
      <c r="J444" s="3"/>
    </row>
    <row r="445">
      <c r="J445" s="3"/>
    </row>
    <row r="446">
      <c r="J446" s="3"/>
    </row>
    <row r="447">
      <c r="J447" s="3"/>
    </row>
    <row r="448">
      <c r="J448" s="3"/>
    </row>
    <row r="449">
      <c r="J449" s="3"/>
    </row>
    <row r="450">
      <c r="J450" s="3"/>
    </row>
    <row r="451">
      <c r="J451" s="3"/>
    </row>
    <row r="452">
      <c r="J452" s="3"/>
    </row>
    <row r="453">
      <c r="J453" s="3"/>
    </row>
    <row r="454">
      <c r="J454" s="3"/>
    </row>
    <row r="455">
      <c r="J455" s="3"/>
    </row>
    <row r="456">
      <c r="J456" s="3"/>
    </row>
    <row r="457">
      <c r="J457" s="3"/>
    </row>
    <row r="458">
      <c r="J458" s="3"/>
    </row>
    <row r="459">
      <c r="J459" s="3"/>
    </row>
    <row r="460">
      <c r="J460" s="3"/>
    </row>
    <row r="461">
      <c r="J461" s="3"/>
    </row>
    <row r="462">
      <c r="J462" s="3"/>
    </row>
    <row r="463">
      <c r="J463" s="3"/>
    </row>
    <row r="464">
      <c r="J464" s="3"/>
    </row>
    <row r="465">
      <c r="J465" s="3"/>
    </row>
    <row r="466">
      <c r="J466" s="3"/>
    </row>
    <row r="467">
      <c r="J467" s="3"/>
    </row>
    <row r="468">
      <c r="J468" s="3"/>
    </row>
    <row r="469">
      <c r="J469" s="3"/>
    </row>
    <row r="470">
      <c r="J470" s="3"/>
    </row>
    <row r="471">
      <c r="J471" s="3"/>
    </row>
    <row r="472">
      <c r="J472" s="3"/>
    </row>
    <row r="473">
      <c r="J473" s="3"/>
    </row>
    <row r="474">
      <c r="J474" s="3"/>
    </row>
    <row r="475">
      <c r="J475" s="3"/>
    </row>
    <row r="476">
      <c r="J476" s="3"/>
    </row>
    <row r="477">
      <c r="J477" s="3"/>
    </row>
    <row r="478">
      <c r="J478" s="3"/>
    </row>
    <row r="479">
      <c r="J479" s="3"/>
    </row>
    <row r="480">
      <c r="J480" s="3"/>
    </row>
    <row r="481">
      <c r="J481" s="3"/>
    </row>
    <row r="482">
      <c r="J482" s="3"/>
    </row>
    <row r="483">
      <c r="J483" s="3"/>
    </row>
    <row r="484">
      <c r="J484" s="3"/>
    </row>
    <row r="485">
      <c r="J485" s="3"/>
    </row>
    <row r="486">
      <c r="J486" s="3"/>
    </row>
    <row r="487">
      <c r="J487" s="3"/>
    </row>
    <row r="488">
      <c r="J488" s="3"/>
    </row>
    <row r="489">
      <c r="J489" s="3"/>
    </row>
    <row r="490">
      <c r="J490" s="3"/>
    </row>
    <row r="491">
      <c r="J491" s="3"/>
    </row>
    <row r="492">
      <c r="J492" s="3"/>
    </row>
    <row r="493">
      <c r="J493" s="3"/>
    </row>
    <row r="494">
      <c r="J494" s="3"/>
    </row>
    <row r="495">
      <c r="J495" s="3"/>
    </row>
    <row r="496">
      <c r="J496" s="3"/>
    </row>
    <row r="497">
      <c r="J497" s="3"/>
    </row>
    <row r="498">
      <c r="J498" s="3"/>
    </row>
    <row r="499">
      <c r="J499" s="3"/>
    </row>
    <row r="500">
      <c r="J500" s="3"/>
    </row>
    <row r="501">
      <c r="J501" s="3"/>
    </row>
    <row r="502">
      <c r="J502" s="3"/>
    </row>
    <row r="503">
      <c r="J503" s="3"/>
    </row>
    <row r="504">
      <c r="J504" s="3"/>
    </row>
    <row r="505">
      <c r="J505" s="3"/>
    </row>
    <row r="506">
      <c r="J506" s="3"/>
    </row>
    <row r="507">
      <c r="J507" s="3"/>
    </row>
    <row r="508">
      <c r="J508" s="3"/>
    </row>
    <row r="509">
      <c r="J509" s="3"/>
    </row>
    <row r="510">
      <c r="J510" s="3"/>
    </row>
    <row r="511">
      <c r="J511" s="3"/>
    </row>
    <row r="512">
      <c r="J512" s="3"/>
    </row>
    <row r="513">
      <c r="J513" s="3"/>
    </row>
    <row r="514">
      <c r="J514" s="3"/>
    </row>
    <row r="515">
      <c r="J515" s="3"/>
    </row>
    <row r="516">
      <c r="J516" s="3"/>
    </row>
    <row r="517">
      <c r="J517" s="3"/>
    </row>
    <row r="518">
      <c r="J518" s="3"/>
    </row>
    <row r="519">
      <c r="J519" s="3"/>
    </row>
    <row r="520">
      <c r="J520" s="3"/>
    </row>
    <row r="521">
      <c r="J521" s="3"/>
    </row>
    <row r="522">
      <c r="J522" s="3"/>
    </row>
    <row r="523">
      <c r="J523" s="3"/>
    </row>
    <row r="524">
      <c r="J524" s="3"/>
    </row>
    <row r="525">
      <c r="J525" s="3"/>
    </row>
    <row r="526">
      <c r="J526" s="3"/>
    </row>
    <row r="527">
      <c r="J527" s="3"/>
    </row>
    <row r="528">
      <c r="J528" s="3"/>
    </row>
    <row r="529">
      <c r="J529" s="3"/>
    </row>
    <row r="530">
      <c r="J530" s="3"/>
    </row>
    <row r="531">
      <c r="J531" s="3"/>
    </row>
    <row r="532">
      <c r="J532" s="3"/>
    </row>
    <row r="533">
      <c r="J533" s="3"/>
    </row>
    <row r="534">
      <c r="J534" s="3"/>
    </row>
    <row r="535">
      <c r="J535" s="3"/>
    </row>
    <row r="536">
      <c r="J536" s="3"/>
    </row>
    <row r="537">
      <c r="J537" s="3"/>
    </row>
    <row r="538">
      <c r="J538" s="3"/>
    </row>
    <row r="539">
      <c r="J539" s="3"/>
    </row>
    <row r="540">
      <c r="J540" s="3"/>
    </row>
    <row r="541">
      <c r="J541" s="3"/>
    </row>
    <row r="542">
      <c r="J542" s="3"/>
    </row>
    <row r="543">
      <c r="J543" s="3"/>
    </row>
    <row r="544">
      <c r="J544" s="3"/>
    </row>
    <row r="545">
      <c r="J545" s="3"/>
    </row>
    <row r="546">
      <c r="J546" s="3"/>
    </row>
    <row r="547">
      <c r="J547" s="3"/>
    </row>
    <row r="548">
      <c r="J548" s="3"/>
    </row>
    <row r="549">
      <c r="J549" s="3"/>
    </row>
    <row r="550">
      <c r="J550" s="3"/>
    </row>
    <row r="551">
      <c r="J551" s="3"/>
    </row>
    <row r="552">
      <c r="J552" s="3"/>
    </row>
    <row r="553">
      <c r="J553" s="3"/>
    </row>
    <row r="554">
      <c r="J554" s="3"/>
    </row>
    <row r="555">
      <c r="J555" s="3"/>
    </row>
    <row r="556">
      <c r="J556" s="3"/>
    </row>
    <row r="557">
      <c r="J557" s="3"/>
    </row>
    <row r="558">
      <c r="J558" s="3"/>
    </row>
    <row r="559">
      <c r="J559" s="3"/>
    </row>
    <row r="560">
      <c r="J560" s="3"/>
    </row>
    <row r="561">
      <c r="J561" s="3"/>
    </row>
    <row r="562">
      <c r="J562" s="3"/>
    </row>
    <row r="563">
      <c r="J563" s="3"/>
    </row>
    <row r="564">
      <c r="J564" s="3"/>
    </row>
    <row r="565">
      <c r="J565" s="3"/>
    </row>
    <row r="566">
      <c r="J566" s="3"/>
    </row>
    <row r="567">
      <c r="J567" s="3"/>
    </row>
    <row r="568">
      <c r="J568" s="3"/>
    </row>
    <row r="569">
      <c r="J569" s="3"/>
    </row>
    <row r="570">
      <c r="J570" s="3"/>
    </row>
    <row r="571">
      <c r="J571" s="3"/>
    </row>
    <row r="572">
      <c r="J572" s="3"/>
    </row>
    <row r="573">
      <c r="J573" s="3"/>
    </row>
    <row r="574">
      <c r="J574" s="3"/>
    </row>
    <row r="575">
      <c r="J575" s="3"/>
    </row>
    <row r="576">
      <c r="J576" s="3"/>
    </row>
    <row r="577">
      <c r="J577" s="3"/>
    </row>
    <row r="578">
      <c r="J578" s="3"/>
    </row>
    <row r="579">
      <c r="J579" s="3"/>
    </row>
    <row r="580">
      <c r="J580" s="3"/>
    </row>
    <row r="581">
      <c r="J581" s="3"/>
    </row>
    <row r="582">
      <c r="J582" s="3"/>
    </row>
    <row r="583">
      <c r="J583" s="3"/>
    </row>
    <row r="584">
      <c r="J584" s="3"/>
    </row>
    <row r="585">
      <c r="J585" s="3"/>
    </row>
    <row r="586">
      <c r="J586" s="3"/>
    </row>
    <row r="587">
      <c r="J587" s="3"/>
    </row>
    <row r="588">
      <c r="J588" s="3"/>
    </row>
    <row r="589">
      <c r="J589" s="3"/>
    </row>
    <row r="590">
      <c r="J590" s="3"/>
    </row>
    <row r="591">
      <c r="J591" s="3"/>
    </row>
    <row r="592">
      <c r="J592" s="3"/>
    </row>
    <row r="593">
      <c r="J593" s="3"/>
    </row>
    <row r="594">
      <c r="J594" s="3"/>
    </row>
    <row r="595">
      <c r="J595" s="3"/>
    </row>
    <row r="596">
      <c r="J596" s="3"/>
    </row>
    <row r="597">
      <c r="J597" s="3"/>
    </row>
    <row r="598">
      <c r="J598" s="3"/>
    </row>
    <row r="599">
      <c r="J599" s="3"/>
    </row>
    <row r="600">
      <c r="J600" s="3"/>
    </row>
    <row r="601">
      <c r="J601" s="3"/>
    </row>
    <row r="602">
      <c r="J602" s="3"/>
    </row>
    <row r="603">
      <c r="J603" s="3"/>
    </row>
    <row r="604">
      <c r="J604" s="3"/>
    </row>
    <row r="605">
      <c r="J605" s="3"/>
    </row>
    <row r="606">
      <c r="J606" s="3"/>
    </row>
    <row r="607">
      <c r="J607" s="3"/>
    </row>
    <row r="608">
      <c r="J608" s="3"/>
    </row>
    <row r="609">
      <c r="J609" s="3"/>
    </row>
    <row r="610">
      <c r="J610" s="3"/>
    </row>
    <row r="611">
      <c r="J611" s="3"/>
    </row>
    <row r="612">
      <c r="J612" s="3"/>
    </row>
    <row r="613">
      <c r="J613" s="3"/>
    </row>
    <row r="614">
      <c r="J614" s="3"/>
    </row>
    <row r="615">
      <c r="J615" s="3"/>
    </row>
    <row r="616">
      <c r="J616" s="3"/>
    </row>
    <row r="617">
      <c r="J617" s="3"/>
    </row>
    <row r="618">
      <c r="J618" s="3"/>
    </row>
    <row r="619">
      <c r="J619" s="3"/>
    </row>
    <row r="620">
      <c r="J620" s="3"/>
    </row>
    <row r="621">
      <c r="J621" s="3"/>
    </row>
    <row r="622">
      <c r="J622" s="3"/>
    </row>
    <row r="623">
      <c r="J623" s="3"/>
    </row>
    <row r="624">
      <c r="J624" s="3"/>
    </row>
    <row r="625">
      <c r="J625" s="3"/>
    </row>
    <row r="626">
      <c r="J626" s="3"/>
    </row>
    <row r="627">
      <c r="J627" s="3"/>
    </row>
    <row r="628">
      <c r="J628" s="3"/>
    </row>
    <row r="629">
      <c r="J629" s="3"/>
    </row>
    <row r="630">
      <c r="J630" s="3"/>
    </row>
    <row r="631">
      <c r="J631" s="3"/>
    </row>
    <row r="632">
      <c r="J632" s="3"/>
    </row>
    <row r="633">
      <c r="J633" s="3"/>
    </row>
    <row r="634">
      <c r="J634" s="3"/>
    </row>
    <row r="635">
      <c r="J635" s="3"/>
    </row>
    <row r="636">
      <c r="J636" s="3"/>
    </row>
    <row r="637">
      <c r="J637" s="3"/>
    </row>
    <row r="638">
      <c r="J638" s="3"/>
    </row>
    <row r="639">
      <c r="J639" s="3"/>
    </row>
    <row r="640">
      <c r="J640" s="3"/>
    </row>
    <row r="641">
      <c r="J641" s="3"/>
    </row>
    <row r="642">
      <c r="J642" s="3"/>
    </row>
    <row r="643">
      <c r="J643" s="3"/>
    </row>
    <row r="644">
      <c r="J644" s="3"/>
    </row>
    <row r="645">
      <c r="J645" s="3"/>
    </row>
    <row r="646">
      <c r="J646" s="3"/>
    </row>
    <row r="647">
      <c r="J647" s="3"/>
    </row>
    <row r="648">
      <c r="J648" s="3"/>
    </row>
    <row r="649">
      <c r="J649" s="3"/>
    </row>
    <row r="650">
      <c r="J650" s="3"/>
    </row>
    <row r="651">
      <c r="J651" s="3"/>
    </row>
    <row r="652">
      <c r="J652" s="3"/>
    </row>
    <row r="653">
      <c r="J653" s="3"/>
    </row>
    <row r="654">
      <c r="J654" s="3"/>
    </row>
    <row r="655">
      <c r="J655" s="3"/>
    </row>
    <row r="656">
      <c r="J656" s="3"/>
    </row>
    <row r="657">
      <c r="J657" s="3"/>
    </row>
    <row r="658">
      <c r="J658" s="3"/>
    </row>
    <row r="659">
      <c r="J659" s="3"/>
    </row>
    <row r="660">
      <c r="J660" s="3"/>
    </row>
    <row r="661">
      <c r="J661" s="3"/>
    </row>
    <row r="662">
      <c r="J662" s="3"/>
    </row>
    <row r="663">
      <c r="J663" s="3"/>
    </row>
    <row r="664">
      <c r="J664" s="3"/>
    </row>
    <row r="665">
      <c r="J665" s="3"/>
    </row>
    <row r="666">
      <c r="J666" s="3"/>
    </row>
    <row r="667">
      <c r="J667" s="3"/>
    </row>
    <row r="668">
      <c r="J668" s="3"/>
    </row>
    <row r="669">
      <c r="J669" s="3"/>
    </row>
    <row r="670">
      <c r="J670" s="3"/>
    </row>
    <row r="671">
      <c r="J671" s="3"/>
    </row>
    <row r="672">
      <c r="J672" s="3"/>
    </row>
    <row r="673">
      <c r="J673" s="3"/>
    </row>
    <row r="674">
      <c r="J674" s="3"/>
    </row>
    <row r="675">
      <c r="J675" s="3"/>
    </row>
    <row r="676">
      <c r="J676" s="3"/>
    </row>
    <row r="677">
      <c r="J677" s="3"/>
    </row>
    <row r="678">
      <c r="J678" s="3"/>
    </row>
    <row r="679">
      <c r="J679" s="3"/>
    </row>
    <row r="680">
      <c r="J680" s="3"/>
    </row>
    <row r="681">
      <c r="J681" s="3"/>
    </row>
    <row r="682">
      <c r="J682" s="3"/>
    </row>
    <row r="683">
      <c r="J683" s="3"/>
    </row>
    <row r="684">
      <c r="J684" s="3"/>
    </row>
    <row r="685">
      <c r="J685" s="3"/>
    </row>
    <row r="686">
      <c r="J686" s="3"/>
    </row>
    <row r="687">
      <c r="J687" s="3"/>
    </row>
    <row r="688">
      <c r="J688" s="3"/>
    </row>
    <row r="689">
      <c r="J689" s="3"/>
    </row>
    <row r="690">
      <c r="J690" s="3"/>
    </row>
    <row r="691">
      <c r="J691" s="3"/>
    </row>
    <row r="692">
      <c r="J692" s="3"/>
    </row>
    <row r="693">
      <c r="J693" s="3"/>
    </row>
    <row r="694">
      <c r="J694" s="3"/>
    </row>
    <row r="695">
      <c r="J695" s="3"/>
    </row>
    <row r="696">
      <c r="J696" s="3"/>
    </row>
    <row r="697">
      <c r="J697" s="3"/>
    </row>
    <row r="698">
      <c r="J698" s="3"/>
    </row>
    <row r="699">
      <c r="J699" s="3"/>
    </row>
    <row r="700">
      <c r="J700" s="3"/>
    </row>
    <row r="701">
      <c r="J701" s="3"/>
    </row>
    <row r="702">
      <c r="J702" s="3"/>
    </row>
    <row r="703">
      <c r="J703" s="3"/>
    </row>
    <row r="704">
      <c r="J704" s="3"/>
    </row>
    <row r="705">
      <c r="J705" s="3"/>
    </row>
    <row r="706">
      <c r="J706" s="3"/>
    </row>
    <row r="707">
      <c r="J707" s="3"/>
    </row>
    <row r="708">
      <c r="J708" s="3"/>
    </row>
    <row r="709">
      <c r="J709" s="3"/>
    </row>
    <row r="710">
      <c r="J710" s="3"/>
    </row>
    <row r="711">
      <c r="J711" s="3"/>
    </row>
    <row r="712">
      <c r="J712" s="3"/>
    </row>
    <row r="713">
      <c r="J713" s="3"/>
    </row>
    <row r="714">
      <c r="J714" s="3"/>
    </row>
    <row r="715">
      <c r="J715" s="3"/>
    </row>
    <row r="716">
      <c r="J716" s="3"/>
    </row>
    <row r="717">
      <c r="J717" s="3"/>
    </row>
    <row r="718">
      <c r="J718" s="3"/>
    </row>
    <row r="719">
      <c r="J719" s="3"/>
    </row>
    <row r="720">
      <c r="J720" s="3"/>
    </row>
    <row r="721">
      <c r="J721" s="3"/>
    </row>
    <row r="722">
      <c r="J722" s="3"/>
    </row>
    <row r="723">
      <c r="J723" s="3"/>
    </row>
    <row r="724">
      <c r="J724" s="3"/>
    </row>
    <row r="725">
      <c r="J725" s="3"/>
    </row>
    <row r="726">
      <c r="J726" s="3"/>
    </row>
    <row r="727">
      <c r="J727" s="3"/>
    </row>
    <row r="728">
      <c r="J728" s="3"/>
    </row>
    <row r="729">
      <c r="J729" s="3"/>
    </row>
    <row r="730">
      <c r="J730" s="3"/>
    </row>
    <row r="731">
      <c r="J731" s="3"/>
    </row>
    <row r="732">
      <c r="J732" s="3"/>
    </row>
    <row r="733">
      <c r="J733" s="3"/>
    </row>
    <row r="734">
      <c r="J734" s="3"/>
    </row>
    <row r="735">
      <c r="J735" s="3"/>
    </row>
    <row r="736">
      <c r="J736" s="3"/>
    </row>
    <row r="737">
      <c r="J737" s="3"/>
    </row>
    <row r="738">
      <c r="J738" s="3"/>
    </row>
    <row r="739">
      <c r="J739" s="3"/>
    </row>
    <row r="740">
      <c r="J740" s="3"/>
    </row>
    <row r="741">
      <c r="J741" s="3"/>
    </row>
    <row r="742">
      <c r="J742" s="3"/>
    </row>
    <row r="743">
      <c r="J743" s="3"/>
    </row>
    <row r="744">
      <c r="J744" s="3"/>
    </row>
    <row r="745">
      <c r="J745" s="3"/>
    </row>
    <row r="746">
      <c r="J746" s="3"/>
    </row>
    <row r="747">
      <c r="J747" s="3"/>
    </row>
    <row r="748">
      <c r="J748" s="3"/>
    </row>
    <row r="749">
      <c r="J749" s="3"/>
    </row>
    <row r="750">
      <c r="J750" s="3"/>
    </row>
    <row r="751">
      <c r="J751" s="3"/>
    </row>
    <row r="752">
      <c r="J752" s="3"/>
    </row>
    <row r="753">
      <c r="J753" s="3"/>
    </row>
    <row r="754">
      <c r="J754" s="3"/>
    </row>
    <row r="755">
      <c r="J755" s="3"/>
    </row>
    <row r="756">
      <c r="J756" s="3"/>
    </row>
    <row r="757">
      <c r="J757" s="3"/>
    </row>
    <row r="758">
      <c r="J758" s="3"/>
    </row>
    <row r="759">
      <c r="J759" s="3"/>
    </row>
    <row r="760">
      <c r="J760" s="3"/>
    </row>
    <row r="761">
      <c r="J761" s="3"/>
    </row>
    <row r="762">
      <c r="J762" s="3"/>
    </row>
    <row r="763">
      <c r="J763" s="3"/>
    </row>
    <row r="764">
      <c r="J764" s="3"/>
    </row>
    <row r="765">
      <c r="J765" s="3"/>
    </row>
    <row r="766">
      <c r="J766" s="3"/>
    </row>
    <row r="767">
      <c r="J767" s="3"/>
    </row>
    <row r="768">
      <c r="J768" s="3"/>
    </row>
    <row r="769">
      <c r="J769" s="3"/>
    </row>
    <row r="770">
      <c r="J770" s="3"/>
    </row>
    <row r="771">
      <c r="J771" s="3"/>
    </row>
    <row r="772">
      <c r="J772" s="3"/>
    </row>
    <row r="773">
      <c r="J773" s="3"/>
    </row>
    <row r="774">
      <c r="J774" s="3"/>
    </row>
    <row r="775">
      <c r="J775" s="3"/>
    </row>
    <row r="776">
      <c r="J776" s="3"/>
    </row>
    <row r="777">
      <c r="J777" s="3"/>
    </row>
    <row r="778">
      <c r="J778" s="3"/>
    </row>
    <row r="779">
      <c r="J779" s="3"/>
    </row>
    <row r="780">
      <c r="J780" s="3"/>
    </row>
    <row r="781">
      <c r="J781" s="3"/>
    </row>
    <row r="782">
      <c r="J782" s="3"/>
    </row>
    <row r="783">
      <c r="J783" s="3"/>
    </row>
    <row r="784">
      <c r="J784" s="3"/>
    </row>
    <row r="785">
      <c r="J785" s="3"/>
    </row>
    <row r="786">
      <c r="J786" s="3"/>
    </row>
    <row r="787">
      <c r="J787" s="3"/>
    </row>
    <row r="788">
      <c r="J788" s="3"/>
    </row>
    <row r="789">
      <c r="J789" s="3"/>
    </row>
    <row r="790">
      <c r="J790" s="3"/>
    </row>
    <row r="791">
      <c r="J791" s="3"/>
    </row>
    <row r="792">
      <c r="J792" s="3"/>
    </row>
    <row r="793">
      <c r="J793" s="3"/>
    </row>
    <row r="794">
      <c r="J794" s="3"/>
    </row>
    <row r="795">
      <c r="J795" s="3"/>
    </row>
    <row r="796">
      <c r="J796" s="3"/>
    </row>
    <row r="797">
      <c r="J797" s="3"/>
    </row>
    <row r="798">
      <c r="J798" s="3"/>
    </row>
    <row r="799">
      <c r="J799" s="3"/>
    </row>
    <row r="800">
      <c r="J800" s="3"/>
    </row>
    <row r="801">
      <c r="J801" s="3"/>
    </row>
    <row r="802">
      <c r="J802" s="3"/>
    </row>
    <row r="803">
      <c r="J803" s="3"/>
    </row>
    <row r="804">
      <c r="J804" s="3"/>
    </row>
    <row r="805">
      <c r="J805" s="3"/>
    </row>
    <row r="806">
      <c r="J806" s="3"/>
    </row>
    <row r="807">
      <c r="J807" s="3"/>
    </row>
    <row r="808">
      <c r="J808" s="3"/>
    </row>
    <row r="809">
      <c r="J809" s="3"/>
    </row>
    <row r="810">
      <c r="J810" s="3"/>
    </row>
    <row r="811">
      <c r="J811" s="3"/>
    </row>
    <row r="812">
      <c r="J812" s="3"/>
    </row>
    <row r="813">
      <c r="J813" s="3"/>
    </row>
    <row r="814">
      <c r="J814" s="3"/>
    </row>
    <row r="815">
      <c r="J815" s="3"/>
    </row>
    <row r="816">
      <c r="J816" s="3"/>
    </row>
    <row r="817">
      <c r="J817" s="3"/>
    </row>
    <row r="818">
      <c r="J818" s="3"/>
    </row>
    <row r="819">
      <c r="J819" s="3"/>
    </row>
    <row r="820">
      <c r="J820" s="3"/>
    </row>
    <row r="821">
      <c r="J821" s="3"/>
    </row>
    <row r="822">
      <c r="J822" s="3"/>
    </row>
    <row r="823">
      <c r="J823" s="3"/>
    </row>
    <row r="824">
      <c r="J824" s="3"/>
    </row>
    <row r="825">
      <c r="J825" s="3"/>
    </row>
    <row r="826">
      <c r="J826" s="3"/>
    </row>
    <row r="827">
      <c r="J827" s="3"/>
    </row>
    <row r="828">
      <c r="J828" s="3"/>
    </row>
    <row r="829">
      <c r="J829" s="3"/>
    </row>
    <row r="830">
      <c r="J830" s="3"/>
    </row>
    <row r="831">
      <c r="J831" s="3"/>
    </row>
    <row r="832">
      <c r="J832" s="3"/>
    </row>
    <row r="833">
      <c r="J833" s="3"/>
    </row>
    <row r="834">
      <c r="J834" s="3"/>
    </row>
    <row r="835">
      <c r="J835" s="3"/>
    </row>
    <row r="836">
      <c r="J836" s="3"/>
    </row>
    <row r="837">
      <c r="J837" s="3"/>
    </row>
    <row r="838">
      <c r="J838" s="3"/>
    </row>
    <row r="839">
      <c r="J839" s="3"/>
    </row>
    <row r="840">
      <c r="J840" s="3"/>
    </row>
    <row r="841">
      <c r="J841" s="3"/>
    </row>
    <row r="842">
      <c r="J842" s="3"/>
    </row>
    <row r="843">
      <c r="J843" s="3"/>
    </row>
    <row r="844">
      <c r="J844" s="3"/>
    </row>
    <row r="845">
      <c r="J845" s="3"/>
    </row>
    <row r="846">
      <c r="J846" s="3"/>
    </row>
    <row r="847">
      <c r="J847" s="3"/>
    </row>
    <row r="848">
      <c r="J848" s="3"/>
    </row>
    <row r="849">
      <c r="J849" s="3"/>
    </row>
    <row r="850">
      <c r="J850" s="3"/>
    </row>
    <row r="851">
      <c r="J851" s="3"/>
    </row>
    <row r="852">
      <c r="J852" s="3"/>
    </row>
    <row r="853">
      <c r="J853" s="3"/>
    </row>
    <row r="854">
      <c r="J854" s="3"/>
    </row>
    <row r="855">
      <c r="J855" s="3"/>
    </row>
    <row r="856">
      <c r="J856" s="3"/>
    </row>
    <row r="857">
      <c r="J857" s="3"/>
    </row>
    <row r="858">
      <c r="J858" s="3"/>
    </row>
    <row r="859">
      <c r="J859" s="3"/>
    </row>
    <row r="860">
      <c r="J860" s="3"/>
    </row>
    <row r="861">
      <c r="J861" s="3"/>
    </row>
    <row r="862">
      <c r="J862" s="3"/>
    </row>
    <row r="863">
      <c r="J863" s="3"/>
    </row>
    <row r="864">
      <c r="J864" s="3"/>
    </row>
    <row r="865">
      <c r="J865" s="3"/>
    </row>
    <row r="866">
      <c r="J866" s="3"/>
    </row>
    <row r="867">
      <c r="J867" s="3"/>
    </row>
    <row r="868">
      <c r="J868" s="3"/>
    </row>
    <row r="869">
      <c r="J869" s="3"/>
    </row>
    <row r="870">
      <c r="J870" s="3"/>
    </row>
    <row r="871">
      <c r="J871" s="3"/>
    </row>
    <row r="872">
      <c r="J872" s="3"/>
    </row>
    <row r="873">
      <c r="J873" s="3"/>
    </row>
    <row r="874">
      <c r="J874" s="3"/>
    </row>
    <row r="875">
      <c r="J875" s="3"/>
    </row>
    <row r="876">
      <c r="J876" s="3"/>
    </row>
    <row r="877">
      <c r="J877" s="3"/>
    </row>
    <row r="878">
      <c r="J878" s="3"/>
    </row>
    <row r="879">
      <c r="J879" s="3"/>
    </row>
    <row r="880">
      <c r="J880" s="3"/>
    </row>
    <row r="881">
      <c r="J881" s="3"/>
    </row>
    <row r="882">
      <c r="J882" s="3"/>
    </row>
    <row r="883">
      <c r="J883" s="3"/>
    </row>
    <row r="884">
      <c r="J884" s="3"/>
    </row>
    <row r="885">
      <c r="J885" s="3"/>
    </row>
    <row r="886">
      <c r="J886" s="3"/>
    </row>
    <row r="887">
      <c r="J887" s="3"/>
    </row>
    <row r="888">
      <c r="J888" s="3"/>
    </row>
    <row r="889">
      <c r="J889" s="3"/>
    </row>
    <row r="890">
      <c r="J890" s="3"/>
    </row>
    <row r="891">
      <c r="J891" s="3"/>
    </row>
    <row r="892">
      <c r="J892" s="3"/>
    </row>
    <row r="893">
      <c r="J893" s="3"/>
    </row>
    <row r="894">
      <c r="J894" s="3"/>
    </row>
    <row r="895">
      <c r="J895" s="3"/>
    </row>
    <row r="896">
      <c r="J896" s="3"/>
    </row>
    <row r="897">
      <c r="J897" s="3"/>
    </row>
    <row r="898">
      <c r="J898" s="3"/>
    </row>
    <row r="899">
      <c r="J899" s="3"/>
    </row>
    <row r="900">
      <c r="J900" s="3"/>
    </row>
    <row r="901">
      <c r="J901" s="3"/>
    </row>
    <row r="902">
      <c r="J902" s="3"/>
    </row>
    <row r="903">
      <c r="J903" s="3"/>
    </row>
    <row r="904">
      <c r="J904" s="3"/>
    </row>
    <row r="905">
      <c r="J905" s="3"/>
    </row>
    <row r="906">
      <c r="J906" s="3"/>
    </row>
    <row r="907">
      <c r="J907" s="3"/>
    </row>
    <row r="908">
      <c r="J908" s="3"/>
    </row>
    <row r="909">
      <c r="J909" s="3"/>
    </row>
    <row r="910">
      <c r="J910" s="3"/>
    </row>
    <row r="911">
      <c r="J911" s="3"/>
    </row>
    <row r="912">
      <c r="J912" s="3"/>
    </row>
    <row r="913">
      <c r="J913" s="3"/>
    </row>
    <row r="914">
      <c r="J914" s="3"/>
    </row>
    <row r="915">
      <c r="J915" s="3"/>
    </row>
    <row r="916">
      <c r="J916" s="3"/>
    </row>
    <row r="917">
      <c r="J917" s="3"/>
    </row>
    <row r="918">
      <c r="J918" s="3"/>
    </row>
    <row r="919">
      <c r="J919" s="3"/>
    </row>
    <row r="920">
      <c r="J920" s="3"/>
    </row>
    <row r="921">
      <c r="J921" s="3"/>
    </row>
    <row r="922">
      <c r="J922" s="3"/>
    </row>
    <row r="923">
      <c r="J923" s="3"/>
    </row>
    <row r="924">
      <c r="J924" s="3"/>
    </row>
    <row r="925">
      <c r="J925" s="3"/>
    </row>
    <row r="926">
      <c r="J926" s="3"/>
    </row>
    <row r="927">
      <c r="J927" s="3"/>
    </row>
    <row r="928">
      <c r="J928" s="3"/>
    </row>
    <row r="929">
      <c r="J929" s="3"/>
    </row>
    <row r="930">
      <c r="J930" s="3"/>
    </row>
    <row r="931">
      <c r="J931" s="3"/>
    </row>
    <row r="932">
      <c r="J932" s="3"/>
    </row>
    <row r="933">
      <c r="J933" s="3"/>
    </row>
    <row r="934">
      <c r="J934" s="3"/>
    </row>
    <row r="935">
      <c r="J935" s="3"/>
    </row>
    <row r="936">
      <c r="J936" s="3"/>
    </row>
    <row r="937">
      <c r="J937" s="3"/>
    </row>
    <row r="938">
      <c r="J938" s="3"/>
    </row>
    <row r="939">
      <c r="J939" s="3"/>
    </row>
    <row r="940">
      <c r="J940" s="3"/>
    </row>
    <row r="941">
      <c r="J941" s="3"/>
    </row>
    <row r="942">
      <c r="J942" s="3"/>
    </row>
    <row r="943">
      <c r="J943" s="3"/>
    </row>
    <row r="944">
      <c r="J944" s="3"/>
    </row>
    <row r="945">
      <c r="J945" s="3"/>
    </row>
    <row r="946">
      <c r="J946" s="3"/>
    </row>
    <row r="947">
      <c r="J947" s="3"/>
    </row>
    <row r="948">
      <c r="J948" s="3"/>
    </row>
    <row r="949">
      <c r="J949" s="3"/>
    </row>
    <row r="950">
      <c r="J950" s="3"/>
    </row>
    <row r="951">
      <c r="J951" s="3"/>
    </row>
    <row r="952">
      <c r="J952" s="3"/>
    </row>
    <row r="953">
      <c r="J953" s="3"/>
    </row>
    <row r="954">
      <c r="J954" s="3"/>
    </row>
    <row r="955">
      <c r="J955" s="3"/>
    </row>
    <row r="956">
      <c r="J956" s="3"/>
    </row>
    <row r="957">
      <c r="J957" s="3"/>
    </row>
    <row r="958">
      <c r="J958" s="3"/>
    </row>
    <row r="959">
      <c r="J959" s="3"/>
    </row>
    <row r="960">
      <c r="J960" s="3"/>
    </row>
    <row r="961">
      <c r="J961" s="3"/>
    </row>
    <row r="962">
      <c r="J962" s="3"/>
    </row>
    <row r="963">
      <c r="J963" s="3"/>
    </row>
    <row r="964">
      <c r="J964" s="3"/>
    </row>
    <row r="965">
      <c r="J965" s="3"/>
    </row>
    <row r="966">
      <c r="J966" s="3"/>
    </row>
    <row r="967">
      <c r="J967" s="3"/>
    </row>
    <row r="968">
      <c r="J968" s="3"/>
    </row>
    <row r="969">
      <c r="J969" s="3"/>
    </row>
    <row r="970">
      <c r="J970" s="3"/>
    </row>
    <row r="971">
      <c r="J971" s="3"/>
    </row>
    <row r="972">
      <c r="J972" s="3"/>
    </row>
    <row r="973">
      <c r="J973" s="3"/>
    </row>
    <row r="974">
      <c r="J974" s="3"/>
    </row>
    <row r="975">
      <c r="J975" s="3"/>
    </row>
    <row r="976">
      <c r="J976" s="3"/>
    </row>
    <row r="977">
      <c r="J977" s="3"/>
    </row>
    <row r="978">
      <c r="J978" s="3"/>
    </row>
    <row r="979">
      <c r="J979" s="3"/>
    </row>
    <row r="980">
      <c r="J980" s="3"/>
    </row>
    <row r="981">
      <c r="J981" s="3"/>
    </row>
    <row r="982">
      <c r="J982" s="3"/>
    </row>
    <row r="983">
      <c r="J983" s="3"/>
    </row>
    <row r="984">
      <c r="J984" s="3"/>
    </row>
    <row r="985">
      <c r="J985" s="3"/>
    </row>
    <row r="986">
      <c r="J986" s="3"/>
    </row>
    <row r="987">
      <c r="J987" s="3"/>
    </row>
    <row r="988">
      <c r="J988" s="3"/>
    </row>
    <row r="989">
      <c r="J989" s="3"/>
    </row>
    <row r="990">
      <c r="J990" s="3"/>
    </row>
    <row r="991">
      <c r="J991" s="3"/>
    </row>
    <row r="992">
      <c r="J992" s="3"/>
    </row>
    <row r="993">
      <c r="J993" s="3"/>
    </row>
    <row r="994">
      <c r="J994" s="3"/>
    </row>
    <row r="995">
      <c r="J995" s="3"/>
    </row>
    <row r="996">
      <c r="J996" s="3"/>
    </row>
    <row r="997">
      <c r="J997" s="3"/>
    </row>
    <row r="998">
      <c r="J998" s="3"/>
    </row>
    <row r="999">
      <c r="J999" s="3"/>
    </row>
  </sheetData>
  <conditionalFormatting sqref="J2:J999">
    <cfRule type="cellIs" dxfId="5" priority="1" operator="equal">
      <formula>"Submitted"</formula>
    </cfRule>
  </conditionalFormatting>
  <conditionalFormatting sqref="J2:J999">
    <cfRule type="cellIs" dxfId="2" priority="2" operator="equal">
      <formula>"Pending"</formula>
    </cfRule>
  </conditionalFormatting>
  <conditionalFormatting sqref="J2:J999">
    <cfRule type="cellIs" dxfId="6" priority="3" operator="equal">
      <formula>"Late"</formula>
    </cfRule>
  </conditionalFormatting>
  <conditionalFormatting sqref="J2:J999">
    <cfRule type="cellIs" dxfId="7" priority="4" operator="equal">
      <formula>"Assigned"</formula>
    </cfRule>
  </conditionalFormatting>
  <conditionalFormatting sqref="J2:J999">
    <cfRule type="cellIs" dxfId="8" priority="5" operator="equal">
      <formula>"Excused"</formula>
    </cfRule>
  </conditionalFormatting>
  <dataValidations>
    <dataValidation type="list" allowBlank="1" showErrorMessage="1" sqref="J2:J999">
      <formula1>"Assigned,Late,Pending,Excused,Submitted"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57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61</v>
      </c>
      <c r="M1" s="1" t="s">
        <v>90</v>
      </c>
      <c r="N1" s="1" t="s">
        <v>62</v>
      </c>
      <c r="O1" s="1" t="s">
        <v>63</v>
      </c>
    </row>
    <row r="2">
      <c r="A2" s="4">
        <v>45906.0</v>
      </c>
      <c r="B2" s="1" t="s">
        <v>10</v>
      </c>
      <c r="C2" s="1" t="s">
        <v>11</v>
      </c>
      <c r="D2" s="1">
        <v>5.0</v>
      </c>
      <c r="E2" s="1" t="s">
        <v>12</v>
      </c>
      <c r="F2" s="1" t="s">
        <v>64</v>
      </c>
      <c r="G2" s="1" t="s">
        <v>91</v>
      </c>
      <c r="H2" s="1" t="s">
        <v>92</v>
      </c>
      <c r="I2" s="1">
        <v>19.0</v>
      </c>
      <c r="J2" s="1">
        <v>20.0</v>
      </c>
      <c r="K2" s="7">
        <v>0.95</v>
      </c>
      <c r="L2" s="1" t="s">
        <v>93</v>
      </c>
      <c r="M2" s="7">
        <v>0.82</v>
      </c>
      <c r="N2" s="1" t="s">
        <v>94</v>
      </c>
      <c r="O2" s="1" t="s">
        <v>44</v>
      </c>
    </row>
    <row r="3">
      <c r="A3" s="4">
        <v>45905.0</v>
      </c>
      <c r="B3" s="1" t="s">
        <v>10</v>
      </c>
      <c r="C3" s="1" t="s">
        <v>11</v>
      </c>
      <c r="D3" s="1">
        <v>5.0</v>
      </c>
      <c r="E3" s="1" t="s">
        <v>12</v>
      </c>
      <c r="F3" s="1" t="s">
        <v>72</v>
      </c>
      <c r="G3" s="1" t="s">
        <v>95</v>
      </c>
      <c r="H3" s="1" t="s">
        <v>96</v>
      </c>
      <c r="I3" s="1">
        <v>42.0</v>
      </c>
      <c r="J3" s="1">
        <v>50.0</v>
      </c>
      <c r="K3" s="7">
        <v>0.84</v>
      </c>
      <c r="L3" s="1" t="s">
        <v>12</v>
      </c>
      <c r="M3" s="7">
        <v>0.78</v>
      </c>
      <c r="N3" s="1" t="s">
        <v>97</v>
      </c>
      <c r="O3" s="1" t="s">
        <v>76</v>
      </c>
    </row>
    <row r="4">
      <c r="A4" s="4">
        <v>45906.0</v>
      </c>
      <c r="B4" s="1" t="s">
        <v>17</v>
      </c>
      <c r="C4" s="1" t="s">
        <v>18</v>
      </c>
      <c r="D4" s="1">
        <v>5.0</v>
      </c>
      <c r="E4" s="1" t="s">
        <v>12</v>
      </c>
      <c r="F4" s="1" t="s">
        <v>68</v>
      </c>
      <c r="G4" s="1" t="s">
        <v>98</v>
      </c>
      <c r="H4" s="1" t="s">
        <v>99</v>
      </c>
      <c r="I4" s="1">
        <v>46.0</v>
      </c>
      <c r="J4" s="1">
        <v>50.0</v>
      </c>
      <c r="K4" s="7">
        <v>0.92</v>
      </c>
      <c r="L4" s="1" t="s">
        <v>93</v>
      </c>
      <c r="M4" s="7">
        <v>0.85</v>
      </c>
      <c r="N4" s="1" t="s">
        <v>100</v>
      </c>
      <c r="O4" s="1" t="s">
        <v>71</v>
      </c>
    </row>
    <row r="5">
      <c r="A5" s="4">
        <v>45905.0</v>
      </c>
      <c r="B5" s="1" t="s">
        <v>17</v>
      </c>
      <c r="C5" s="1" t="s">
        <v>18</v>
      </c>
      <c r="D5" s="1">
        <v>5.0</v>
      </c>
      <c r="E5" s="1" t="s">
        <v>12</v>
      </c>
      <c r="F5" s="1" t="s">
        <v>64</v>
      </c>
      <c r="G5" s="1" t="s">
        <v>91</v>
      </c>
      <c r="H5" s="1" t="s">
        <v>92</v>
      </c>
      <c r="I5" s="1">
        <v>17.0</v>
      </c>
      <c r="J5" s="1">
        <v>20.0</v>
      </c>
      <c r="K5" s="7">
        <v>0.85</v>
      </c>
      <c r="L5" s="1" t="s">
        <v>12</v>
      </c>
      <c r="M5" s="7">
        <v>0.82</v>
      </c>
      <c r="N5" s="1" t="s">
        <v>101</v>
      </c>
      <c r="O5" s="1" t="s">
        <v>44</v>
      </c>
    </row>
    <row r="6">
      <c r="A6" s="4">
        <v>45906.0</v>
      </c>
      <c r="B6" s="1" t="s">
        <v>21</v>
      </c>
      <c r="C6" s="1" t="s">
        <v>22</v>
      </c>
      <c r="D6" s="1">
        <v>6.0</v>
      </c>
      <c r="E6" s="1" t="s">
        <v>23</v>
      </c>
      <c r="F6" s="1" t="s">
        <v>77</v>
      </c>
      <c r="G6" s="1" t="s">
        <v>102</v>
      </c>
      <c r="H6" s="1" t="s">
        <v>103</v>
      </c>
      <c r="I6" s="1">
        <v>44.0</v>
      </c>
      <c r="J6" s="1">
        <v>50.0</v>
      </c>
      <c r="K6" s="7">
        <v>0.88</v>
      </c>
      <c r="L6" s="1" t="s">
        <v>12</v>
      </c>
      <c r="M6" s="7">
        <v>0.8</v>
      </c>
      <c r="N6" s="1" t="s">
        <v>104</v>
      </c>
      <c r="O6" s="1" t="s">
        <v>80</v>
      </c>
    </row>
    <row r="7">
      <c r="A7" s="4">
        <v>45905.0</v>
      </c>
      <c r="B7" s="1" t="s">
        <v>21</v>
      </c>
      <c r="C7" s="1" t="s">
        <v>22</v>
      </c>
      <c r="D7" s="1">
        <v>6.0</v>
      </c>
      <c r="E7" s="1" t="s">
        <v>23</v>
      </c>
      <c r="F7" s="1" t="s">
        <v>72</v>
      </c>
      <c r="G7" s="1" t="s">
        <v>95</v>
      </c>
      <c r="H7" s="1" t="s">
        <v>105</v>
      </c>
      <c r="I7" s="1">
        <v>38.0</v>
      </c>
      <c r="J7" s="1">
        <v>50.0</v>
      </c>
      <c r="K7" s="7">
        <v>0.76</v>
      </c>
      <c r="L7" s="1" t="s">
        <v>106</v>
      </c>
      <c r="M7" s="7">
        <v>0.72</v>
      </c>
      <c r="N7" s="1" t="s">
        <v>107</v>
      </c>
      <c r="O7" s="1" t="s">
        <v>76</v>
      </c>
    </row>
    <row r="8">
      <c r="A8" s="4">
        <v>45906.0</v>
      </c>
      <c r="B8" s="1" t="s">
        <v>26</v>
      </c>
      <c r="C8" s="1" t="s">
        <v>27</v>
      </c>
      <c r="D8" s="1">
        <v>4.0</v>
      </c>
      <c r="E8" s="1" t="s">
        <v>12</v>
      </c>
      <c r="F8" s="1" t="s">
        <v>64</v>
      </c>
      <c r="G8" s="1" t="s">
        <v>91</v>
      </c>
      <c r="H8" s="1" t="s">
        <v>108</v>
      </c>
      <c r="I8" s="1">
        <v>18.0</v>
      </c>
      <c r="J8" s="1">
        <v>20.0</v>
      </c>
      <c r="K8" s="7">
        <v>0.9</v>
      </c>
      <c r="L8" s="1" t="s">
        <v>93</v>
      </c>
      <c r="M8" s="7">
        <v>0.75</v>
      </c>
      <c r="N8" s="1" t="s">
        <v>109</v>
      </c>
      <c r="O8" s="1" t="s">
        <v>44</v>
      </c>
    </row>
    <row r="9">
      <c r="A9" s="4">
        <v>45905.0</v>
      </c>
      <c r="B9" s="1" t="s">
        <v>26</v>
      </c>
      <c r="C9" s="1" t="s">
        <v>27</v>
      </c>
      <c r="D9" s="1">
        <v>4.0</v>
      </c>
      <c r="E9" s="1" t="s">
        <v>12</v>
      </c>
      <c r="F9" s="1" t="s">
        <v>68</v>
      </c>
      <c r="G9" s="1" t="s">
        <v>95</v>
      </c>
      <c r="H9" s="1" t="s">
        <v>110</v>
      </c>
      <c r="I9" s="1">
        <v>40.0</v>
      </c>
      <c r="J9" s="1">
        <v>50.0</v>
      </c>
      <c r="K9" s="7">
        <v>0.8</v>
      </c>
      <c r="L9" s="1" t="s">
        <v>106</v>
      </c>
      <c r="M9" s="7">
        <v>0.78</v>
      </c>
      <c r="N9" s="1" t="s">
        <v>111</v>
      </c>
      <c r="O9" s="1" t="s">
        <v>71</v>
      </c>
    </row>
    <row r="10">
      <c r="A10" s="4">
        <v>45906.0</v>
      </c>
      <c r="B10" s="1" t="s">
        <v>31</v>
      </c>
      <c r="C10" s="1" t="s">
        <v>32</v>
      </c>
      <c r="D10" s="1">
        <v>7.0</v>
      </c>
      <c r="E10" s="1" t="s">
        <v>33</v>
      </c>
      <c r="F10" s="1" t="s">
        <v>68</v>
      </c>
      <c r="G10" s="1" t="s">
        <v>98</v>
      </c>
      <c r="H10" s="1" t="s">
        <v>112</v>
      </c>
      <c r="I10" s="1">
        <v>47.0</v>
      </c>
      <c r="J10" s="1">
        <v>50.0</v>
      </c>
      <c r="K10" s="7">
        <v>0.94</v>
      </c>
      <c r="L10" s="1" t="s">
        <v>93</v>
      </c>
      <c r="M10" s="7">
        <v>0.88</v>
      </c>
      <c r="N10" s="1" t="s">
        <v>113</v>
      </c>
      <c r="O10" s="1" t="s">
        <v>71</v>
      </c>
    </row>
    <row r="11">
      <c r="A11" s="4">
        <v>45905.0</v>
      </c>
      <c r="B11" s="1" t="s">
        <v>31</v>
      </c>
      <c r="C11" s="1" t="s">
        <v>32</v>
      </c>
      <c r="D11" s="1">
        <v>7.0</v>
      </c>
      <c r="E11" s="1" t="s">
        <v>33</v>
      </c>
      <c r="F11" s="1" t="s">
        <v>64</v>
      </c>
      <c r="G11" s="1" t="s">
        <v>95</v>
      </c>
      <c r="H11" s="1" t="s">
        <v>114</v>
      </c>
      <c r="I11" s="1">
        <v>41.0</v>
      </c>
      <c r="J11" s="1">
        <v>50.0</v>
      </c>
      <c r="K11" s="7">
        <v>0.82</v>
      </c>
      <c r="L11" s="1" t="s">
        <v>12</v>
      </c>
      <c r="M11" s="7">
        <v>0.76</v>
      </c>
      <c r="N11" s="1" t="s">
        <v>115</v>
      </c>
      <c r="O11" s="1" t="s">
        <v>44</v>
      </c>
    </row>
    <row r="12">
      <c r="G12" s="3"/>
      <c r="L12" s="3"/>
    </row>
    <row r="13">
      <c r="G13" s="3"/>
      <c r="L13" s="3"/>
    </row>
    <row r="14">
      <c r="G14" s="3"/>
      <c r="L14" s="3"/>
    </row>
    <row r="15">
      <c r="G15" s="3"/>
      <c r="L15" s="3"/>
    </row>
    <row r="16">
      <c r="G16" s="3"/>
      <c r="L16" s="3"/>
    </row>
    <row r="17">
      <c r="G17" s="3"/>
      <c r="L17" s="3"/>
    </row>
    <row r="18">
      <c r="G18" s="3"/>
      <c r="L18" s="3"/>
    </row>
    <row r="19">
      <c r="G19" s="3"/>
      <c r="L19" s="3"/>
    </row>
    <row r="20">
      <c r="G20" s="3"/>
      <c r="L20" s="3"/>
    </row>
    <row r="21">
      <c r="G21" s="3"/>
      <c r="L21" s="3"/>
    </row>
    <row r="22">
      <c r="G22" s="3"/>
      <c r="L22" s="3"/>
    </row>
    <row r="23">
      <c r="G23" s="3"/>
      <c r="L23" s="3"/>
    </row>
    <row r="24">
      <c r="G24" s="3"/>
      <c r="L24" s="3"/>
    </row>
    <row r="25">
      <c r="G25" s="3"/>
      <c r="L25" s="3"/>
    </row>
    <row r="26">
      <c r="G26" s="3"/>
      <c r="L26" s="3"/>
    </row>
    <row r="27">
      <c r="G27" s="3"/>
      <c r="L27" s="3"/>
    </row>
    <row r="28">
      <c r="G28" s="3"/>
      <c r="L28" s="3"/>
    </row>
    <row r="29">
      <c r="G29" s="3"/>
      <c r="L29" s="3"/>
    </row>
    <row r="30">
      <c r="G30" s="3"/>
      <c r="L30" s="3"/>
    </row>
    <row r="31">
      <c r="G31" s="3"/>
      <c r="L31" s="3"/>
    </row>
    <row r="32">
      <c r="G32" s="3"/>
      <c r="L32" s="3"/>
    </row>
    <row r="33">
      <c r="G33" s="3"/>
      <c r="L33" s="3"/>
    </row>
    <row r="34">
      <c r="G34" s="3"/>
      <c r="L34" s="3"/>
    </row>
    <row r="35">
      <c r="G35" s="3"/>
      <c r="L35" s="3"/>
    </row>
    <row r="36">
      <c r="G36" s="3"/>
      <c r="L36" s="3"/>
    </row>
    <row r="37">
      <c r="G37" s="3"/>
      <c r="L37" s="3"/>
    </row>
    <row r="38">
      <c r="G38" s="3"/>
      <c r="L38" s="3"/>
    </row>
    <row r="39">
      <c r="G39" s="3"/>
      <c r="L39" s="3"/>
    </row>
    <row r="40">
      <c r="G40" s="3"/>
      <c r="L40" s="3"/>
    </row>
    <row r="41">
      <c r="G41" s="3"/>
      <c r="L41" s="3"/>
    </row>
    <row r="42">
      <c r="G42" s="3"/>
      <c r="L42" s="3"/>
    </row>
    <row r="43">
      <c r="G43" s="3"/>
      <c r="L43" s="3"/>
    </row>
    <row r="44">
      <c r="G44" s="3"/>
      <c r="L44" s="3"/>
    </row>
    <row r="45">
      <c r="G45" s="3"/>
      <c r="L45" s="3"/>
    </row>
    <row r="46">
      <c r="G46" s="3"/>
      <c r="L46" s="3"/>
    </row>
    <row r="47">
      <c r="G47" s="3"/>
      <c r="L47" s="3"/>
    </row>
    <row r="48">
      <c r="G48" s="3"/>
      <c r="L48" s="3"/>
    </row>
    <row r="49">
      <c r="G49" s="3"/>
      <c r="L49" s="3"/>
    </row>
    <row r="50">
      <c r="G50" s="3"/>
      <c r="L50" s="3"/>
    </row>
    <row r="51">
      <c r="G51" s="3"/>
      <c r="L51" s="3"/>
    </row>
    <row r="52">
      <c r="G52" s="3"/>
      <c r="L52" s="3"/>
    </row>
    <row r="53">
      <c r="G53" s="3"/>
      <c r="L53" s="3"/>
    </row>
    <row r="54">
      <c r="G54" s="3"/>
      <c r="L54" s="3"/>
    </row>
    <row r="55">
      <c r="G55" s="3"/>
      <c r="L55" s="3"/>
    </row>
    <row r="56">
      <c r="G56" s="3"/>
      <c r="L56" s="3"/>
    </row>
    <row r="57">
      <c r="G57" s="3"/>
      <c r="L57" s="3"/>
    </row>
    <row r="58">
      <c r="G58" s="3"/>
      <c r="L58" s="3"/>
    </row>
    <row r="59">
      <c r="G59" s="3"/>
      <c r="L59" s="3"/>
    </row>
    <row r="60">
      <c r="G60" s="3"/>
      <c r="L60" s="3"/>
    </row>
    <row r="61">
      <c r="G61" s="3"/>
      <c r="L61" s="3"/>
    </row>
    <row r="62">
      <c r="G62" s="3"/>
      <c r="L62" s="3"/>
    </row>
    <row r="63">
      <c r="G63" s="3"/>
      <c r="L63" s="3"/>
    </row>
    <row r="64">
      <c r="G64" s="3"/>
      <c r="L64" s="3"/>
    </row>
    <row r="65">
      <c r="G65" s="3"/>
      <c r="L65" s="3"/>
    </row>
    <row r="66">
      <c r="G66" s="3"/>
      <c r="L66" s="3"/>
    </row>
    <row r="67">
      <c r="G67" s="3"/>
      <c r="L67" s="3"/>
    </row>
    <row r="68">
      <c r="G68" s="3"/>
      <c r="L68" s="3"/>
    </row>
    <row r="69">
      <c r="G69" s="3"/>
      <c r="L69" s="3"/>
    </row>
    <row r="70">
      <c r="G70" s="3"/>
      <c r="L70" s="3"/>
    </row>
    <row r="71">
      <c r="G71" s="3"/>
      <c r="L71" s="3"/>
    </row>
    <row r="72">
      <c r="G72" s="3"/>
      <c r="L72" s="3"/>
    </row>
    <row r="73">
      <c r="G73" s="3"/>
      <c r="L73" s="3"/>
    </row>
    <row r="74">
      <c r="G74" s="3"/>
      <c r="L74" s="3"/>
    </row>
    <row r="75">
      <c r="G75" s="3"/>
      <c r="L75" s="3"/>
    </row>
    <row r="76">
      <c r="G76" s="3"/>
      <c r="L76" s="3"/>
    </row>
    <row r="77">
      <c r="G77" s="3"/>
      <c r="L77" s="3"/>
    </row>
    <row r="78">
      <c r="G78" s="3"/>
      <c r="L78" s="3"/>
    </row>
    <row r="79">
      <c r="G79" s="3"/>
      <c r="L79" s="3"/>
    </row>
    <row r="80">
      <c r="G80" s="3"/>
      <c r="L80" s="3"/>
    </row>
    <row r="81">
      <c r="G81" s="3"/>
      <c r="L81" s="3"/>
    </row>
    <row r="82">
      <c r="G82" s="3"/>
      <c r="L82" s="3"/>
    </row>
    <row r="83">
      <c r="G83" s="3"/>
      <c r="L83" s="3"/>
    </row>
    <row r="84">
      <c r="G84" s="3"/>
      <c r="L84" s="3"/>
    </row>
    <row r="85">
      <c r="G85" s="3"/>
      <c r="L85" s="3"/>
    </row>
    <row r="86">
      <c r="G86" s="3"/>
      <c r="L86" s="3"/>
    </row>
    <row r="87">
      <c r="G87" s="3"/>
      <c r="L87" s="3"/>
    </row>
    <row r="88">
      <c r="G88" s="3"/>
      <c r="L88" s="3"/>
    </row>
    <row r="89">
      <c r="G89" s="3"/>
      <c r="L89" s="3"/>
    </row>
    <row r="90"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  <row r="98">
      <c r="G98" s="3"/>
      <c r="L98" s="3"/>
    </row>
    <row r="99">
      <c r="G99" s="3"/>
      <c r="L99" s="3"/>
    </row>
    <row r="100">
      <c r="G100" s="3"/>
      <c r="L100" s="3"/>
    </row>
    <row r="101">
      <c r="G101" s="3"/>
      <c r="L101" s="3"/>
    </row>
    <row r="102">
      <c r="G102" s="3"/>
      <c r="L102" s="3"/>
    </row>
    <row r="103">
      <c r="G103" s="3"/>
      <c r="L103" s="3"/>
    </row>
    <row r="104">
      <c r="G104" s="3"/>
      <c r="L104" s="3"/>
    </row>
    <row r="105">
      <c r="G105" s="3"/>
      <c r="L105" s="3"/>
    </row>
    <row r="106">
      <c r="G106" s="3"/>
      <c r="L106" s="3"/>
    </row>
    <row r="107">
      <c r="G107" s="3"/>
      <c r="L107" s="3"/>
    </row>
    <row r="108">
      <c r="G108" s="3"/>
      <c r="L108" s="3"/>
    </row>
    <row r="109">
      <c r="G109" s="3"/>
      <c r="L109" s="3"/>
    </row>
    <row r="110">
      <c r="G110" s="3"/>
      <c r="L110" s="3"/>
    </row>
    <row r="111">
      <c r="G111" s="3"/>
      <c r="L111" s="3"/>
    </row>
    <row r="112">
      <c r="G112" s="3"/>
      <c r="L112" s="3"/>
    </row>
    <row r="113">
      <c r="G113" s="3"/>
      <c r="L113" s="3"/>
    </row>
    <row r="114">
      <c r="G114" s="3"/>
      <c r="L114" s="3"/>
    </row>
    <row r="115">
      <c r="G115" s="3"/>
      <c r="L115" s="3"/>
    </row>
    <row r="116">
      <c r="G116" s="3"/>
      <c r="L116" s="3"/>
    </row>
    <row r="117">
      <c r="G117" s="3"/>
      <c r="L117" s="3"/>
    </row>
    <row r="118">
      <c r="G118" s="3"/>
      <c r="L118" s="3"/>
    </row>
    <row r="119">
      <c r="G119" s="3"/>
      <c r="L119" s="3"/>
    </row>
    <row r="120">
      <c r="G120" s="3"/>
      <c r="L120" s="3"/>
    </row>
    <row r="121">
      <c r="G121" s="3"/>
      <c r="L121" s="3"/>
    </row>
    <row r="122">
      <c r="G122" s="3"/>
      <c r="L122" s="3"/>
    </row>
    <row r="123">
      <c r="G123" s="3"/>
      <c r="L123" s="3"/>
    </row>
    <row r="124">
      <c r="G124" s="3"/>
      <c r="L124" s="3"/>
    </row>
    <row r="125">
      <c r="G125" s="3"/>
      <c r="L125" s="3"/>
    </row>
    <row r="126">
      <c r="G126" s="3"/>
      <c r="L126" s="3"/>
    </row>
    <row r="127">
      <c r="G127" s="3"/>
      <c r="L127" s="3"/>
    </row>
    <row r="128">
      <c r="G128" s="3"/>
      <c r="L128" s="3"/>
    </row>
    <row r="129">
      <c r="G129" s="3"/>
      <c r="L129" s="3"/>
    </row>
    <row r="130">
      <c r="G130" s="3"/>
      <c r="L130" s="3"/>
    </row>
    <row r="131">
      <c r="G131" s="3"/>
      <c r="L131" s="3"/>
    </row>
    <row r="132">
      <c r="G132" s="3"/>
      <c r="L132" s="3"/>
    </row>
    <row r="133">
      <c r="G133" s="3"/>
      <c r="L133" s="3"/>
    </row>
    <row r="134">
      <c r="G134" s="3"/>
      <c r="L134" s="3"/>
    </row>
    <row r="135">
      <c r="G135" s="3"/>
      <c r="L135" s="3"/>
    </row>
    <row r="136">
      <c r="G136" s="3"/>
      <c r="L136" s="3"/>
    </row>
    <row r="137">
      <c r="G137" s="3"/>
      <c r="L137" s="3"/>
    </row>
    <row r="138">
      <c r="G138" s="3"/>
      <c r="L138" s="3"/>
    </row>
    <row r="139">
      <c r="G139" s="3"/>
      <c r="L139" s="3"/>
    </row>
    <row r="140">
      <c r="G140" s="3"/>
      <c r="L140" s="3"/>
    </row>
    <row r="141">
      <c r="G141" s="3"/>
      <c r="L141" s="3"/>
    </row>
    <row r="142">
      <c r="G142" s="3"/>
      <c r="L142" s="3"/>
    </row>
    <row r="143">
      <c r="G143" s="3"/>
      <c r="L143" s="3"/>
    </row>
    <row r="144">
      <c r="G144" s="3"/>
      <c r="L144" s="3"/>
    </row>
    <row r="145">
      <c r="G145" s="3"/>
      <c r="L145" s="3"/>
    </row>
    <row r="146">
      <c r="G146" s="3"/>
      <c r="L146" s="3"/>
    </row>
    <row r="147">
      <c r="G147" s="3"/>
      <c r="L147" s="3"/>
    </row>
    <row r="148">
      <c r="G148" s="3"/>
      <c r="L148" s="3"/>
    </row>
    <row r="149">
      <c r="G149" s="3"/>
      <c r="L149" s="3"/>
    </row>
    <row r="150">
      <c r="G150" s="3"/>
      <c r="L150" s="3"/>
    </row>
    <row r="151">
      <c r="G151" s="3"/>
      <c r="L151" s="3"/>
    </row>
    <row r="152">
      <c r="G152" s="3"/>
      <c r="L152" s="3"/>
    </row>
    <row r="153">
      <c r="G153" s="3"/>
      <c r="L153" s="3"/>
    </row>
    <row r="154">
      <c r="G154" s="3"/>
      <c r="L154" s="3"/>
    </row>
    <row r="155">
      <c r="G155" s="3"/>
      <c r="L155" s="3"/>
    </row>
    <row r="156">
      <c r="G156" s="3"/>
      <c r="L156" s="3"/>
    </row>
    <row r="157">
      <c r="G157" s="3"/>
      <c r="L157" s="3"/>
    </row>
    <row r="158">
      <c r="G158" s="3"/>
      <c r="L158" s="3"/>
    </row>
    <row r="159">
      <c r="G159" s="3"/>
      <c r="L159" s="3"/>
    </row>
    <row r="160">
      <c r="G160" s="3"/>
      <c r="L160" s="3"/>
    </row>
    <row r="161">
      <c r="G161" s="3"/>
      <c r="L161" s="3"/>
    </row>
    <row r="162">
      <c r="G162" s="3"/>
      <c r="L162" s="3"/>
    </row>
    <row r="163">
      <c r="G163" s="3"/>
      <c r="L163" s="3"/>
    </row>
    <row r="164">
      <c r="G164" s="3"/>
      <c r="L164" s="3"/>
    </row>
    <row r="165">
      <c r="G165" s="3"/>
      <c r="L165" s="3"/>
    </row>
    <row r="166">
      <c r="G166" s="3"/>
      <c r="L166" s="3"/>
    </row>
    <row r="167">
      <c r="G167" s="3"/>
      <c r="L167" s="3"/>
    </row>
    <row r="168">
      <c r="G168" s="3"/>
      <c r="L168" s="3"/>
    </row>
    <row r="169">
      <c r="G169" s="3"/>
      <c r="L169" s="3"/>
    </row>
    <row r="170">
      <c r="G170" s="3"/>
      <c r="L170" s="3"/>
    </row>
    <row r="171">
      <c r="G171" s="3"/>
      <c r="L171" s="3"/>
    </row>
    <row r="172">
      <c r="G172" s="3"/>
      <c r="L172" s="3"/>
    </row>
    <row r="173">
      <c r="G173" s="3"/>
      <c r="L173" s="3"/>
    </row>
    <row r="174">
      <c r="G174" s="3"/>
      <c r="L174" s="3"/>
    </row>
    <row r="175">
      <c r="G175" s="3"/>
      <c r="L175" s="3"/>
    </row>
    <row r="176">
      <c r="G176" s="3"/>
      <c r="L176" s="3"/>
    </row>
    <row r="177">
      <c r="G177" s="3"/>
      <c r="L177" s="3"/>
    </row>
    <row r="178">
      <c r="G178" s="3"/>
      <c r="L178" s="3"/>
    </row>
    <row r="179">
      <c r="G179" s="3"/>
      <c r="L179" s="3"/>
    </row>
    <row r="180">
      <c r="G180" s="3"/>
      <c r="L180" s="3"/>
    </row>
    <row r="181">
      <c r="G181" s="3"/>
      <c r="L181" s="3"/>
    </row>
    <row r="182">
      <c r="G182" s="3"/>
      <c r="L182" s="3"/>
    </row>
    <row r="183">
      <c r="G183" s="3"/>
      <c r="L183" s="3"/>
    </row>
    <row r="184">
      <c r="G184" s="3"/>
      <c r="L184" s="3"/>
    </row>
    <row r="185">
      <c r="G185" s="3"/>
      <c r="L185" s="3"/>
    </row>
    <row r="186">
      <c r="G186" s="3"/>
      <c r="L186" s="3"/>
    </row>
    <row r="187">
      <c r="G187" s="3"/>
      <c r="L187" s="3"/>
    </row>
    <row r="188">
      <c r="G188" s="3"/>
      <c r="L188" s="3"/>
    </row>
    <row r="189">
      <c r="G189" s="3"/>
      <c r="L189" s="3"/>
    </row>
    <row r="190">
      <c r="G190" s="3"/>
      <c r="L190" s="3"/>
    </row>
    <row r="191">
      <c r="G191" s="3"/>
      <c r="L191" s="3"/>
    </row>
    <row r="192">
      <c r="G192" s="3"/>
      <c r="L192" s="3"/>
    </row>
    <row r="193">
      <c r="G193" s="3"/>
      <c r="L193" s="3"/>
    </row>
    <row r="194">
      <c r="G194" s="3"/>
      <c r="L194" s="3"/>
    </row>
    <row r="195">
      <c r="G195" s="3"/>
      <c r="L195" s="3"/>
    </row>
    <row r="196">
      <c r="G196" s="3"/>
      <c r="L196" s="3"/>
    </row>
    <row r="197">
      <c r="G197" s="3"/>
      <c r="L197" s="3"/>
    </row>
    <row r="198">
      <c r="G198" s="3"/>
      <c r="L198" s="3"/>
    </row>
    <row r="199">
      <c r="G199" s="3"/>
      <c r="L199" s="3"/>
    </row>
    <row r="200">
      <c r="G200" s="3"/>
      <c r="L200" s="3"/>
    </row>
    <row r="201">
      <c r="G201" s="3"/>
      <c r="L201" s="3"/>
    </row>
    <row r="202">
      <c r="G202" s="3"/>
      <c r="L202" s="3"/>
    </row>
    <row r="203">
      <c r="G203" s="3"/>
      <c r="L203" s="3"/>
    </row>
    <row r="204">
      <c r="G204" s="3"/>
      <c r="L204" s="3"/>
    </row>
    <row r="205">
      <c r="G205" s="3"/>
      <c r="L205" s="3"/>
    </row>
    <row r="206">
      <c r="G206" s="3"/>
      <c r="L206" s="3"/>
    </row>
    <row r="207">
      <c r="G207" s="3"/>
      <c r="L207" s="3"/>
    </row>
    <row r="208">
      <c r="G208" s="3"/>
      <c r="L208" s="3"/>
    </row>
    <row r="209">
      <c r="G209" s="3"/>
      <c r="L209" s="3"/>
    </row>
    <row r="210">
      <c r="G210" s="3"/>
      <c r="L210" s="3"/>
    </row>
    <row r="211">
      <c r="G211" s="3"/>
      <c r="L211" s="3"/>
    </row>
    <row r="212">
      <c r="G212" s="3"/>
      <c r="L212" s="3"/>
    </row>
    <row r="213">
      <c r="G213" s="3"/>
      <c r="L213" s="3"/>
    </row>
    <row r="214">
      <c r="G214" s="3"/>
      <c r="L214" s="3"/>
    </row>
    <row r="215">
      <c r="G215" s="3"/>
      <c r="L215" s="3"/>
    </row>
    <row r="216">
      <c r="G216" s="3"/>
      <c r="L216" s="3"/>
    </row>
    <row r="217">
      <c r="G217" s="3"/>
      <c r="L217" s="3"/>
    </row>
    <row r="218">
      <c r="G218" s="3"/>
      <c r="L218" s="3"/>
    </row>
    <row r="219">
      <c r="G219" s="3"/>
      <c r="L219" s="3"/>
    </row>
    <row r="220">
      <c r="G220" s="3"/>
      <c r="L220" s="3"/>
    </row>
    <row r="221">
      <c r="G221" s="3"/>
      <c r="L221" s="3"/>
    </row>
    <row r="222">
      <c r="G222" s="3"/>
      <c r="L222" s="3"/>
    </row>
    <row r="223">
      <c r="G223" s="3"/>
      <c r="L223" s="3"/>
    </row>
    <row r="224">
      <c r="G224" s="3"/>
      <c r="L224" s="3"/>
    </row>
    <row r="225">
      <c r="G225" s="3"/>
      <c r="L225" s="3"/>
    </row>
    <row r="226">
      <c r="G226" s="3"/>
      <c r="L226" s="3"/>
    </row>
    <row r="227">
      <c r="G227" s="3"/>
      <c r="L227" s="3"/>
    </row>
    <row r="228">
      <c r="G228" s="3"/>
      <c r="L228" s="3"/>
    </row>
    <row r="229">
      <c r="G229" s="3"/>
      <c r="L229" s="3"/>
    </row>
    <row r="230">
      <c r="G230" s="3"/>
      <c r="L230" s="3"/>
    </row>
    <row r="231">
      <c r="G231" s="3"/>
      <c r="L231" s="3"/>
    </row>
    <row r="232">
      <c r="G232" s="3"/>
      <c r="L232" s="3"/>
    </row>
    <row r="233">
      <c r="G233" s="3"/>
      <c r="L233" s="3"/>
    </row>
    <row r="234">
      <c r="G234" s="3"/>
      <c r="L234" s="3"/>
    </row>
    <row r="235">
      <c r="G235" s="3"/>
      <c r="L235" s="3"/>
    </row>
    <row r="236">
      <c r="G236" s="3"/>
      <c r="L236" s="3"/>
    </row>
    <row r="237">
      <c r="G237" s="3"/>
      <c r="L237" s="3"/>
    </row>
    <row r="238">
      <c r="G238" s="3"/>
      <c r="L238" s="3"/>
    </row>
    <row r="239">
      <c r="G239" s="3"/>
      <c r="L239" s="3"/>
    </row>
    <row r="240">
      <c r="G240" s="3"/>
      <c r="L240" s="3"/>
    </row>
    <row r="241">
      <c r="G241" s="3"/>
      <c r="L241" s="3"/>
    </row>
    <row r="242">
      <c r="G242" s="3"/>
      <c r="L242" s="3"/>
    </row>
    <row r="243">
      <c r="G243" s="3"/>
      <c r="L243" s="3"/>
    </row>
    <row r="244">
      <c r="G244" s="3"/>
      <c r="L244" s="3"/>
    </row>
    <row r="245">
      <c r="G245" s="3"/>
      <c r="L245" s="3"/>
    </row>
    <row r="246">
      <c r="G246" s="3"/>
      <c r="L246" s="3"/>
    </row>
    <row r="247">
      <c r="G247" s="3"/>
      <c r="L247" s="3"/>
    </row>
    <row r="248">
      <c r="G248" s="3"/>
      <c r="L248" s="3"/>
    </row>
    <row r="249">
      <c r="G249" s="3"/>
      <c r="L249" s="3"/>
    </row>
    <row r="250">
      <c r="G250" s="3"/>
      <c r="L250" s="3"/>
    </row>
    <row r="251">
      <c r="G251" s="3"/>
      <c r="L251" s="3"/>
    </row>
    <row r="252">
      <c r="G252" s="3"/>
      <c r="L252" s="3"/>
    </row>
    <row r="253">
      <c r="G253" s="3"/>
      <c r="L253" s="3"/>
    </row>
    <row r="254">
      <c r="G254" s="3"/>
      <c r="L254" s="3"/>
    </row>
    <row r="255">
      <c r="G255" s="3"/>
      <c r="L255" s="3"/>
    </row>
    <row r="256">
      <c r="G256" s="3"/>
      <c r="L256" s="3"/>
    </row>
    <row r="257">
      <c r="G257" s="3"/>
      <c r="L257" s="3"/>
    </row>
    <row r="258">
      <c r="G258" s="3"/>
      <c r="L258" s="3"/>
    </row>
    <row r="259">
      <c r="G259" s="3"/>
      <c r="L259" s="3"/>
    </row>
    <row r="260">
      <c r="G260" s="3"/>
      <c r="L260" s="3"/>
    </row>
    <row r="261">
      <c r="G261" s="3"/>
      <c r="L261" s="3"/>
    </row>
    <row r="262">
      <c r="G262" s="3"/>
      <c r="L262" s="3"/>
    </row>
    <row r="263">
      <c r="G263" s="3"/>
      <c r="L263" s="3"/>
    </row>
    <row r="264">
      <c r="G264" s="3"/>
      <c r="L264" s="3"/>
    </row>
    <row r="265">
      <c r="G265" s="3"/>
      <c r="L265" s="3"/>
    </row>
    <row r="266">
      <c r="G266" s="3"/>
      <c r="L266" s="3"/>
    </row>
    <row r="267">
      <c r="G267" s="3"/>
      <c r="L267" s="3"/>
    </row>
    <row r="268">
      <c r="G268" s="3"/>
      <c r="L268" s="3"/>
    </row>
    <row r="269">
      <c r="G269" s="3"/>
      <c r="L269" s="3"/>
    </row>
    <row r="270">
      <c r="G270" s="3"/>
      <c r="L270" s="3"/>
    </row>
    <row r="271">
      <c r="G271" s="3"/>
      <c r="L271" s="3"/>
    </row>
    <row r="272">
      <c r="G272" s="3"/>
      <c r="L272" s="3"/>
    </row>
    <row r="273">
      <c r="G273" s="3"/>
      <c r="L273" s="3"/>
    </row>
    <row r="274">
      <c r="G274" s="3"/>
      <c r="L274" s="3"/>
    </row>
    <row r="275">
      <c r="G275" s="3"/>
      <c r="L275" s="3"/>
    </row>
    <row r="276">
      <c r="G276" s="3"/>
      <c r="L276" s="3"/>
    </row>
    <row r="277">
      <c r="G277" s="3"/>
      <c r="L277" s="3"/>
    </row>
    <row r="278">
      <c r="G278" s="3"/>
      <c r="L278" s="3"/>
    </row>
    <row r="279">
      <c r="G279" s="3"/>
      <c r="L279" s="3"/>
    </row>
    <row r="280">
      <c r="G280" s="3"/>
      <c r="L280" s="3"/>
    </row>
    <row r="281">
      <c r="G281" s="3"/>
      <c r="L281" s="3"/>
    </row>
    <row r="282">
      <c r="G282" s="3"/>
      <c r="L282" s="3"/>
    </row>
    <row r="283">
      <c r="G283" s="3"/>
      <c r="L283" s="3"/>
    </row>
    <row r="284">
      <c r="G284" s="3"/>
      <c r="L284" s="3"/>
    </row>
    <row r="285">
      <c r="G285" s="3"/>
      <c r="L285" s="3"/>
    </row>
    <row r="286">
      <c r="G286" s="3"/>
      <c r="L286" s="3"/>
    </row>
    <row r="287">
      <c r="G287" s="3"/>
      <c r="L287" s="3"/>
    </row>
    <row r="288">
      <c r="G288" s="3"/>
      <c r="L288" s="3"/>
    </row>
    <row r="289">
      <c r="G289" s="3"/>
      <c r="L289" s="3"/>
    </row>
    <row r="290">
      <c r="G290" s="3"/>
      <c r="L290" s="3"/>
    </row>
    <row r="291">
      <c r="G291" s="3"/>
      <c r="L291" s="3"/>
    </row>
    <row r="292">
      <c r="G292" s="3"/>
      <c r="L292" s="3"/>
    </row>
    <row r="293">
      <c r="G293" s="3"/>
      <c r="L293" s="3"/>
    </row>
    <row r="294">
      <c r="G294" s="3"/>
      <c r="L294" s="3"/>
    </row>
    <row r="295">
      <c r="G295" s="3"/>
      <c r="L295" s="3"/>
    </row>
    <row r="296">
      <c r="G296" s="3"/>
      <c r="L296" s="3"/>
    </row>
    <row r="297">
      <c r="G297" s="3"/>
      <c r="L297" s="3"/>
    </row>
    <row r="298">
      <c r="G298" s="3"/>
      <c r="L298" s="3"/>
    </row>
    <row r="299">
      <c r="G299" s="3"/>
      <c r="L299" s="3"/>
    </row>
    <row r="300">
      <c r="G300" s="3"/>
      <c r="L300" s="3"/>
    </row>
    <row r="301">
      <c r="G301" s="3"/>
      <c r="L301" s="3"/>
    </row>
    <row r="302">
      <c r="G302" s="3"/>
      <c r="L302" s="3"/>
    </row>
    <row r="303">
      <c r="G303" s="3"/>
      <c r="L303" s="3"/>
    </row>
    <row r="304">
      <c r="G304" s="3"/>
      <c r="L304" s="3"/>
    </row>
    <row r="305">
      <c r="G305" s="3"/>
      <c r="L305" s="3"/>
    </row>
    <row r="306">
      <c r="G306" s="3"/>
      <c r="L306" s="3"/>
    </row>
    <row r="307">
      <c r="G307" s="3"/>
      <c r="L307" s="3"/>
    </row>
    <row r="308">
      <c r="G308" s="3"/>
      <c r="L308" s="3"/>
    </row>
    <row r="309">
      <c r="G309" s="3"/>
      <c r="L309" s="3"/>
    </row>
    <row r="310">
      <c r="G310" s="3"/>
      <c r="L310" s="3"/>
    </row>
    <row r="311">
      <c r="G311" s="3"/>
      <c r="L311" s="3"/>
    </row>
    <row r="312">
      <c r="G312" s="3"/>
      <c r="L312" s="3"/>
    </row>
    <row r="313">
      <c r="G313" s="3"/>
      <c r="L313" s="3"/>
    </row>
    <row r="314">
      <c r="G314" s="3"/>
      <c r="L314" s="3"/>
    </row>
    <row r="315">
      <c r="G315" s="3"/>
      <c r="L315" s="3"/>
    </row>
    <row r="316">
      <c r="G316" s="3"/>
      <c r="L316" s="3"/>
    </row>
    <row r="317">
      <c r="G317" s="3"/>
      <c r="L317" s="3"/>
    </row>
    <row r="318">
      <c r="G318" s="3"/>
      <c r="L318" s="3"/>
    </row>
    <row r="319">
      <c r="G319" s="3"/>
      <c r="L319" s="3"/>
    </row>
    <row r="320">
      <c r="G320" s="3"/>
      <c r="L320" s="3"/>
    </row>
    <row r="321">
      <c r="G321" s="3"/>
      <c r="L321" s="3"/>
    </row>
    <row r="322">
      <c r="G322" s="3"/>
      <c r="L322" s="3"/>
    </row>
    <row r="323">
      <c r="G323" s="3"/>
      <c r="L323" s="3"/>
    </row>
    <row r="324">
      <c r="G324" s="3"/>
      <c r="L324" s="3"/>
    </row>
    <row r="325">
      <c r="G325" s="3"/>
      <c r="L325" s="3"/>
    </row>
    <row r="326">
      <c r="G326" s="3"/>
      <c r="L326" s="3"/>
    </row>
    <row r="327">
      <c r="G327" s="3"/>
      <c r="L327" s="3"/>
    </row>
    <row r="328">
      <c r="G328" s="3"/>
      <c r="L328" s="3"/>
    </row>
    <row r="329">
      <c r="G329" s="3"/>
      <c r="L329" s="3"/>
    </row>
    <row r="330">
      <c r="G330" s="3"/>
      <c r="L330" s="3"/>
    </row>
    <row r="331">
      <c r="G331" s="3"/>
      <c r="L331" s="3"/>
    </row>
    <row r="332">
      <c r="G332" s="3"/>
      <c r="L332" s="3"/>
    </row>
    <row r="333">
      <c r="G333" s="3"/>
      <c r="L333" s="3"/>
    </row>
    <row r="334">
      <c r="G334" s="3"/>
      <c r="L334" s="3"/>
    </row>
    <row r="335">
      <c r="G335" s="3"/>
      <c r="L335" s="3"/>
    </row>
    <row r="336">
      <c r="G336" s="3"/>
      <c r="L336" s="3"/>
    </row>
    <row r="337">
      <c r="G337" s="3"/>
      <c r="L337" s="3"/>
    </row>
    <row r="338">
      <c r="G338" s="3"/>
      <c r="L338" s="3"/>
    </row>
    <row r="339">
      <c r="G339" s="3"/>
      <c r="L339" s="3"/>
    </row>
    <row r="340">
      <c r="G340" s="3"/>
      <c r="L340" s="3"/>
    </row>
    <row r="341">
      <c r="G341" s="3"/>
      <c r="L341" s="3"/>
    </row>
    <row r="342">
      <c r="G342" s="3"/>
      <c r="L342" s="3"/>
    </row>
    <row r="343">
      <c r="G343" s="3"/>
      <c r="L343" s="3"/>
    </row>
    <row r="344">
      <c r="G344" s="3"/>
      <c r="L344" s="3"/>
    </row>
    <row r="345">
      <c r="G345" s="3"/>
      <c r="L345" s="3"/>
    </row>
    <row r="346">
      <c r="G346" s="3"/>
      <c r="L346" s="3"/>
    </row>
    <row r="347">
      <c r="G347" s="3"/>
      <c r="L347" s="3"/>
    </row>
    <row r="348">
      <c r="G348" s="3"/>
      <c r="L348" s="3"/>
    </row>
    <row r="349">
      <c r="G349" s="3"/>
      <c r="L349" s="3"/>
    </row>
    <row r="350">
      <c r="G350" s="3"/>
      <c r="L350" s="3"/>
    </row>
    <row r="351">
      <c r="G351" s="3"/>
      <c r="L351" s="3"/>
    </row>
    <row r="352">
      <c r="G352" s="3"/>
      <c r="L352" s="3"/>
    </row>
    <row r="353">
      <c r="G353" s="3"/>
      <c r="L353" s="3"/>
    </row>
    <row r="354">
      <c r="G354" s="3"/>
      <c r="L354" s="3"/>
    </row>
    <row r="355">
      <c r="G355" s="3"/>
      <c r="L355" s="3"/>
    </row>
    <row r="356">
      <c r="G356" s="3"/>
      <c r="L356" s="3"/>
    </row>
    <row r="357">
      <c r="G357" s="3"/>
      <c r="L357" s="3"/>
    </row>
    <row r="358">
      <c r="G358" s="3"/>
      <c r="L358" s="3"/>
    </row>
    <row r="359">
      <c r="G359" s="3"/>
      <c r="L359" s="3"/>
    </row>
    <row r="360">
      <c r="G360" s="3"/>
      <c r="L360" s="3"/>
    </row>
    <row r="361">
      <c r="G361" s="3"/>
      <c r="L361" s="3"/>
    </row>
    <row r="362">
      <c r="G362" s="3"/>
      <c r="L362" s="3"/>
    </row>
    <row r="363">
      <c r="G363" s="3"/>
      <c r="L363" s="3"/>
    </row>
    <row r="364">
      <c r="G364" s="3"/>
      <c r="L364" s="3"/>
    </row>
    <row r="365">
      <c r="G365" s="3"/>
      <c r="L365" s="3"/>
    </row>
    <row r="366">
      <c r="G366" s="3"/>
      <c r="L366" s="3"/>
    </row>
    <row r="367">
      <c r="G367" s="3"/>
      <c r="L367" s="3"/>
    </row>
    <row r="368">
      <c r="G368" s="3"/>
      <c r="L368" s="3"/>
    </row>
    <row r="369">
      <c r="G369" s="3"/>
      <c r="L369" s="3"/>
    </row>
    <row r="370">
      <c r="G370" s="3"/>
      <c r="L370" s="3"/>
    </row>
    <row r="371">
      <c r="G371" s="3"/>
      <c r="L371" s="3"/>
    </row>
    <row r="372">
      <c r="G372" s="3"/>
      <c r="L372" s="3"/>
    </row>
    <row r="373">
      <c r="G373" s="3"/>
      <c r="L373" s="3"/>
    </row>
    <row r="374">
      <c r="G374" s="3"/>
      <c r="L374" s="3"/>
    </row>
    <row r="375">
      <c r="G375" s="3"/>
      <c r="L375" s="3"/>
    </row>
    <row r="376">
      <c r="G376" s="3"/>
      <c r="L376" s="3"/>
    </row>
    <row r="377">
      <c r="G377" s="3"/>
      <c r="L377" s="3"/>
    </row>
    <row r="378">
      <c r="G378" s="3"/>
      <c r="L378" s="3"/>
    </row>
    <row r="379">
      <c r="G379" s="3"/>
      <c r="L379" s="3"/>
    </row>
    <row r="380">
      <c r="G380" s="3"/>
      <c r="L380" s="3"/>
    </row>
    <row r="381">
      <c r="G381" s="3"/>
      <c r="L381" s="3"/>
    </row>
    <row r="382">
      <c r="G382" s="3"/>
      <c r="L382" s="3"/>
    </row>
    <row r="383">
      <c r="G383" s="3"/>
      <c r="L383" s="3"/>
    </row>
    <row r="384">
      <c r="G384" s="3"/>
      <c r="L384" s="3"/>
    </row>
    <row r="385">
      <c r="G385" s="3"/>
      <c r="L385" s="3"/>
    </row>
    <row r="386">
      <c r="G386" s="3"/>
      <c r="L386" s="3"/>
    </row>
    <row r="387">
      <c r="G387" s="3"/>
      <c r="L387" s="3"/>
    </row>
    <row r="388">
      <c r="G388" s="3"/>
      <c r="L388" s="3"/>
    </row>
    <row r="389">
      <c r="G389" s="3"/>
      <c r="L389" s="3"/>
    </row>
    <row r="390">
      <c r="G390" s="3"/>
      <c r="L390" s="3"/>
    </row>
    <row r="391">
      <c r="G391" s="3"/>
      <c r="L391" s="3"/>
    </row>
    <row r="392">
      <c r="G392" s="3"/>
      <c r="L392" s="3"/>
    </row>
    <row r="393">
      <c r="G393" s="3"/>
      <c r="L393" s="3"/>
    </row>
    <row r="394">
      <c r="G394" s="3"/>
      <c r="L394" s="3"/>
    </row>
    <row r="395">
      <c r="G395" s="3"/>
      <c r="L395" s="3"/>
    </row>
    <row r="396">
      <c r="G396" s="3"/>
      <c r="L396" s="3"/>
    </row>
    <row r="397">
      <c r="G397" s="3"/>
      <c r="L397" s="3"/>
    </row>
    <row r="398">
      <c r="G398" s="3"/>
      <c r="L398" s="3"/>
    </row>
    <row r="399">
      <c r="G399" s="3"/>
      <c r="L399" s="3"/>
    </row>
    <row r="400">
      <c r="G400" s="3"/>
      <c r="L400" s="3"/>
    </row>
    <row r="401">
      <c r="G401" s="3"/>
      <c r="L401" s="3"/>
    </row>
    <row r="402">
      <c r="G402" s="3"/>
      <c r="L402" s="3"/>
    </row>
    <row r="403">
      <c r="G403" s="3"/>
      <c r="L403" s="3"/>
    </row>
    <row r="404">
      <c r="G404" s="3"/>
      <c r="L404" s="3"/>
    </row>
    <row r="405">
      <c r="G405" s="3"/>
      <c r="L405" s="3"/>
    </row>
    <row r="406">
      <c r="G406" s="3"/>
      <c r="L406" s="3"/>
    </row>
    <row r="407">
      <c r="G407" s="3"/>
      <c r="L407" s="3"/>
    </row>
    <row r="408">
      <c r="G408" s="3"/>
      <c r="L408" s="3"/>
    </row>
    <row r="409">
      <c r="G409" s="3"/>
      <c r="L409" s="3"/>
    </row>
    <row r="410">
      <c r="G410" s="3"/>
      <c r="L410" s="3"/>
    </row>
    <row r="411">
      <c r="G411" s="3"/>
      <c r="L411" s="3"/>
    </row>
    <row r="412">
      <c r="G412" s="3"/>
      <c r="L412" s="3"/>
    </row>
    <row r="413">
      <c r="G413" s="3"/>
      <c r="L413" s="3"/>
    </row>
    <row r="414">
      <c r="G414" s="3"/>
      <c r="L414" s="3"/>
    </row>
    <row r="415">
      <c r="G415" s="3"/>
      <c r="L415" s="3"/>
    </row>
    <row r="416">
      <c r="G416" s="3"/>
      <c r="L416" s="3"/>
    </row>
    <row r="417">
      <c r="G417" s="3"/>
      <c r="L417" s="3"/>
    </row>
    <row r="418">
      <c r="G418" s="3"/>
      <c r="L418" s="3"/>
    </row>
    <row r="419">
      <c r="G419" s="3"/>
      <c r="L419" s="3"/>
    </row>
    <row r="420">
      <c r="G420" s="3"/>
      <c r="L420" s="3"/>
    </row>
    <row r="421">
      <c r="G421" s="3"/>
      <c r="L421" s="3"/>
    </row>
    <row r="422">
      <c r="G422" s="3"/>
      <c r="L422" s="3"/>
    </row>
    <row r="423">
      <c r="G423" s="3"/>
      <c r="L423" s="3"/>
    </row>
    <row r="424">
      <c r="G424" s="3"/>
      <c r="L424" s="3"/>
    </row>
    <row r="425">
      <c r="G425" s="3"/>
      <c r="L425" s="3"/>
    </row>
    <row r="426">
      <c r="G426" s="3"/>
      <c r="L426" s="3"/>
    </row>
    <row r="427">
      <c r="G427" s="3"/>
      <c r="L427" s="3"/>
    </row>
    <row r="428">
      <c r="G428" s="3"/>
      <c r="L428" s="3"/>
    </row>
    <row r="429">
      <c r="G429" s="3"/>
      <c r="L429" s="3"/>
    </row>
    <row r="430">
      <c r="G430" s="3"/>
      <c r="L430" s="3"/>
    </row>
    <row r="431">
      <c r="G431" s="3"/>
      <c r="L431" s="3"/>
    </row>
    <row r="432">
      <c r="G432" s="3"/>
      <c r="L432" s="3"/>
    </row>
    <row r="433">
      <c r="G433" s="3"/>
      <c r="L433" s="3"/>
    </row>
    <row r="434">
      <c r="G434" s="3"/>
      <c r="L434" s="3"/>
    </row>
    <row r="435">
      <c r="G435" s="3"/>
      <c r="L435" s="3"/>
    </row>
    <row r="436">
      <c r="G436" s="3"/>
      <c r="L436" s="3"/>
    </row>
    <row r="437">
      <c r="G437" s="3"/>
      <c r="L437" s="3"/>
    </row>
    <row r="438">
      <c r="G438" s="3"/>
      <c r="L438" s="3"/>
    </row>
    <row r="439">
      <c r="G439" s="3"/>
      <c r="L439" s="3"/>
    </row>
    <row r="440">
      <c r="G440" s="3"/>
      <c r="L440" s="3"/>
    </row>
    <row r="441">
      <c r="G441" s="3"/>
      <c r="L441" s="3"/>
    </row>
    <row r="442">
      <c r="G442" s="3"/>
      <c r="L442" s="3"/>
    </row>
    <row r="443">
      <c r="G443" s="3"/>
      <c r="L443" s="3"/>
    </row>
    <row r="444">
      <c r="G444" s="3"/>
      <c r="L444" s="3"/>
    </row>
    <row r="445">
      <c r="G445" s="3"/>
      <c r="L445" s="3"/>
    </row>
    <row r="446">
      <c r="G446" s="3"/>
      <c r="L446" s="3"/>
    </row>
    <row r="447">
      <c r="G447" s="3"/>
      <c r="L447" s="3"/>
    </row>
    <row r="448">
      <c r="G448" s="3"/>
      <c r="L448" s="3"/>
    </row>
    <row r="449">
      <c r="G449" s="3"/>
      <c r="L449" s="3"/>
    </row>
    <row r="450">
      <c r="G450" s="3"/>
      <c r="L450" s="3"/>
    </row>
    <row r="451">
      <c r="G451" s="3"/>
      <c r="L451" s="3"/>
    </row>
    <row r="452">
      <c r="G452" s="3"/>
      <c r="L452" s="3"/>
    </row>
    <row r="453">
      <c r="G453" s="3"/>
      <c r="L453" s="3"/>
    </row>
    <row r="454">
      <c r="G454" s="3"/>
      <c r="L454" s="3"/>
    </row>
    <row r="455">
      <c r="G455" s="3"/>
      <c r="L455" s="3"/>
    </row>
    <row r="456">
      <c r="G456" s="3"/>
      <c r="L456" s="3"/>
    </row>
    <row r="457">
      <c r="G457" s="3"/>
      <c r="L457" s="3"/>
    </row>
    <row r="458">
      <c r="G458" s="3"/>
      <c r="L458" s="3"/>
    </row>
    <row r="459">
      <c r="G459" s="3"/>
      <c r="L459" s="3"/>
    </row>
    <row r="460">
      <c r="G460" s="3"/>
      <c r="L460" s="3"/>
    </row>
    <row r="461">
      <c r="G461" s="3"/>
      <c r="L461" s="3"/>
    </row>
    <row r="462">
      <c r="G462" s="3"/>
      <c r="L462" s="3"/>
    </row>
    <row r="463">
      <c r="G463" s="3"/>
      <c r="L463" s="3"/>
    </row>
    <row r="464">
      <c r="G464" s="3"/>
      <c r="L464" s="3"/>
    </row>
    <row r="465">
      <c r="G465" s="3"/>
      <c r="L465" s="3"/>
    </row>
    <row r="466">
      <c r="G466" s="3"/>
      <c r="L466" s="3"/>
    </row>
    <row r="467">
      <c r="G467" s="3"/>
      <c r="L467" s="3"/>
    </row>
    <row r="468">
      <c r="G468" s="3"/>
      <c r="L468" s="3"/>
    </row>
    <row r="469">
      <c r="G469" s="3"/>
      <c r="L469" s="3"/>
    </row>
    <row r="470">
      <c r="G470" s="3"/>
      <c r="L470" s="3"/>
    </row>
    <row r="471">
      <c r="G471" s="3"/>
      <c r="L471" s="3"/>
    </row>
    <row r="472">
      <c r="G472" s="3"/>
      <c r="L472" s="3"/>
    </row>
    <row r="473">
      <c r="G473" s="3"/>
      <c r="L473" s="3"/>
    </row>
    <row r="474">
      <c r="G474" s="3"/>
      <c r="L474" s="3"/>
    </row>
    <row r="475">
      <c r="G475" s="3"/>
      <c r="L475" s="3"/>
    </row>
    <row r="476">
      <c r="G476" s="3"/>
      <c r="L476" s="3"/>
    </row>
    <row r="477">
      <c r="G477" s="3"/>
      <c r="L477" s="3"/>
    </row>
    <row r="478">
      <c r="G478" s="3"/>
      <c r="L478" s="3"/>
    </row>
    <row r="479">
      <c r="G479" s="3"/>
      <c r="L479" s="3"/>
    </row>
    <row r="480">
      <c r="G480" s="3"/>
      <c r="L480" s="3"/>
    </row>
    <row r="481">
      <c r="G481" s="3"/>
      <c r="L481" s="3"/>
    </row>
    <row r="482">
      <c r="G482" s="3"/>
      <c r="L482" s="3"/>
    </row>
    <row r="483">
      <c r="G483" s="3"/>
      <c r="L483" s="3"/>
    </row>
    <row r="484">
      <c r="G484" s="3"/>
      <c r="L484" s="3"/>
    </row>
    <row r="485">
      <c r="G485" s="3"/>
      <c r="L485" s="3"/>
    </row>
    <row r="486">
      <c r="G486" s="3"/>
      <c r="L486" s="3"/>
    </row>
    <row r="487">
      <c r="G487" s="3"/>
      <c r="L487" s="3"/>
    </row>
    <row r="488">
      <c r="G488" s="3"/>
      <c r="L488" s="3"/>
    </row>
    <row r="489">
      <c r="G489" s="3"/>
      <c r="L489" s="3"/>
    </row>
    <row r="490">
      <c r="G490" s="3"/>
      <c r="L490" s="3"/>
    </row>
    <row r="491">
      <c r="G491" s="3"/>
      <c r="L491" s="3"/>
    </row>
    <row r="492">
      <c r="G492" s="3"/>
      <c r="L492" s="3"/>
    </row>
    <row r="493">
      <c r="G493" s="3"/>
      <c r="L493" s="3"/>
    </row>
    <row r="494">
      <c r="G494" s="3"/>
      <c r="L494" s="3"/>
    </row>
    <row r="495">
      <c r="G495" s="3"/>
      <c r="L495" s="3"/>
    </row>
    <row r="496">
      <c r="G496" s="3"/>
      <c r="L496" s="3"/>
    </row>
    <row r="497">
      <c r="G497" s="3"/>
      <c r="L497" s="3"/>
    </row>
    <row r="498">
      <c r="G498" s="3"/>
      <c r="L498" s="3"/>
    </row>
    <row r="499">
      <c r="G499" s="3"/>
      <c r="L499" s="3"/>
    </row>
    <row r="500">
      <c r="G500" s="3"/>
      <c r="L500" s="3"/>
    </row>
    <row r="501">
      <c r="G501" s="3"/>
      <c r="L501" s="3"/>
    </row>
    <row r="502">
      <c r="G502" s="3"/>
      <c r="L502" s="3"/>
    </row>
    <row r="503">
      <c r="G503" s="3"/>
      <c r="L503" s="3"/>
    </row>
    <row r="504">
      <c r="G504" s="3"/>
      <c r="L504" s="3"/>
    </row>
    <row r="505">
      <c r="G505" s="3"/>
      <c r="L505" s="3"/>
    </row>
    <row r="506">
      <c r="G506" s="3"/>
      <c r="L506" s="3"/>
    </row>
    <row r="507">
      <c r="G507" s="3"/>
      <c r="L507" s="3"/>
    </row>
    <row r="508">
      <c r="G508" s="3"/>
      <c r="L508" s="3"/>
    </row>
    <row r="509">
      <c r="G509" s="3"/>
      <c r="L509" s="3"/>
    </row>
    <row r="510">
      <c r="G510" s="3"/>
      <c r="L510" s="3"/>
    </row>
    <row r="511">
      <c r="G511" s="3"/>
      <c r="L511" s="3"/>
    </row>
    <row r="512">
      <c r="G512" s="3"/>
      <c r="L512" s="3"/>
    </row>
    <row r="513">
      <c r="G513" s="3"/>
      <c r="L513" s="3"/>
    </row>
    <row r="514">
      <c r="G514" s="3"/>
      <c r="L514" s="3"/>
    </row>
    <row r="515">
      <c r="G515" s="3"/>
      <c r="L515" s="3"/>
    </row>
    <row r="516">
      <c r="G516" s="3"/>
      <c r="L516" s="3"/>
    </row>
    <row r="517">
      <c r="G517" s="3"/>
      <c r="L517" s="3"/>
    </row>
    <row r="518">
      <c r="G518" s="3"/>
      <c r="L518" s="3"/>
    </row>
    <row r="519">
      <c r="G519" s="3"/>
      <c r="L519" s="3"/>
    </row>
    <row r="520">
      <c r="G520" s="3"/>
      <c r="L520" s="3"/>
    </row>
    <row r="521">
      <c r="G521" s="3"/>
      <c r="L521" s="3"/>
    </row>
    <row r="522">
      <c r="G522" s="3"/>
      <c r="L522" s="3"/>
    </row>
    <row r="523">
      <c r="G523" s="3"/>
      <c r="L523" s="3"/>
    </row>
    <row r="524">
      <c r="G524" s="3"/>
      <c r="L524" s="3"/>
    </row>
    <row r="525">
      <c r="G525" s="3"/>
      <c r="L525" s="3"/>
    </row>
    <row r="526">
      <c r="G526" s="3"/>
      <c r="L526" s="3"/>
    </row>
    <row r="527">
      <c r="G527" s="3"/>
      <c r="L527" s="3"/>
    </row>
    <row r="528">
      <c r="G528" s="3"/>
      <c r="L528" s="3"/>
    </row>
    <row r="529">
      <c r="G529" s="3"/>
      <c r="L529" s="3"/>
    </row>
    <row r="530">
      <c r="G530" s="3"/>
      <c r="L530" s="3"/>
    </row>
    <row r="531">
      <c r="G531" s="3"/>
      <c r="L531" s="3"/>
    </row>
    <row r="532">
      <c r="G532" s="3"/>
      <c r="L532" s="3"/>
    </row>
    <row r="533">
      <c r="G533" s="3"/>
      <c r="L533" s="3"/>
    </row>
    <row r="534">
      <c r="G534" s="3"/>
      <c r="L534" s="3"/>
    </row>
    <row r="535">
      <c r="G535" s="3"/>
      <c r="L535" s="3"/>
    </row>
    <row r="536">
      <c r="G536" s="3"/>
      <c r="L536" s="3"/>
    </row>
    <row r="537">
      <c r="G537" s="3"/>
      <c r="L537" s="3"/>
    </row>
    <row r="538">
      <c r="G538" s="3"/>
      <c r="L538" s="3"/>
    </row>
    <row r="539">
      <c r="G539" s="3"/>
      <c r="L539" s="3"/>
    </row>
    <row r="540">
      <c r="G540" s="3"/>
      <c r="L540" s="3"/>
    </row>
    <row r="541">
      <c r="G541" s="3"/>
      <c r="L541" s="3"/>
    </row>
    <row r="542">
      <c r="G542" s="3"/>
      <c r="L542" s="3"/>
    </row>
    <row r="543">
      <c r="G543" s="3"/>
      <c r="L543" s="3"/>
    </row>
    <row r="544">
      <c r="G544" s="3"/>
      <c r="L544" s="3"/>
    </row>
    <row r="545">
      <c r="G545" s="3"/>
      <c r="L545" s="3"/>
    </row>
    <row r="546">
      <c r="G546" s="3"/>
      <c r="L546" s="3"/>
    </row>
    <row r="547">
      <c r="G547" s="3"/>
      <c r="L547" s="3"/>
    </row>
    <row r="548">
      <c r="G548" s="3"/>
      <c r="L548" s="3"/>
    </row>
    <row r="549">
      <c r="G549" s="3"/>
      <c r="L549" s="3"/>
    </row>
    <row r="550">
      <c r="G550" s="3"/>
      <c r="L550" s="3"/>
    </row>
    <row r="551">
      <c r="G551" s="3"/>
      <c r="L551" s="3"/>
    </row>
    <row r="552">
      <c r="G552" s="3"/>
      <c r="L552" s="3"/>
    </row>
    <row r="553">
      <c r="G553" s="3"/>
      <c r="L553" s="3"/>
    </row>
    <row r="554">
      <c r="G554" s="3"/>
      <c r="L554" s="3"/>
    </row>
    <row r="555">
      <c r="G555" s="3"/>
      <c r="L555" s="3"/>
    </row>
    <row r="556">
      <c r="G556" s="3"/>
      <c r="L556" s="3"/>
    </row>
    <row r="557">
      <c r="G557" s="3"/>
      <c r="L557" s="3"/>
    </row>
    <row r="558">
      <c r="G558" s="3"/>
      <c r="L558" s="3"/>
    </row>
    <row r="559">
      <c r="G559" s="3"/>
      <c r="L559" s="3"/>
    </row>
    <row r="560">
      <c r="G560" s="3"/>
      <c r="L560" s="3"/>
    </row>
    <row r="561">
      <c r="G561" s="3"/>
      <c r="L561" s="3"/>
    </row>
    <row r="562">
      <c r="G562" s="3"/>
      <c r="L562" s="3"/>
    </row>
    <row r="563">
      <c r="G563" s="3"/>
      <c r="L563" s="3"/>
    </row>
    <row r="564">
      <c r="G564" s="3"/>
      <c r="L564" s="3"/>
    </row>
    <row r="565">
      <c r="G565" s="3"/>
      <c r="L565" s="3"/>
    </row>
    <row r="566">
      <c r="G566" s="3"/>
      <c r="L566" s="3"/>
    </row>
    <row r="567">
      <c r="G567" s="3"/>
      <c r="L567" s="3"/>
    </row>
    <row r="568">
      <c r="G568" s="3"/>
      <c r="L568" s="3"/>
    </row>
    <row r="569">
      <c r="G569" s="3"/>
      <c r="L569" s="3"/>
    </row>
    <row r="570">
      <c r="G570" s="3"/>
      <c r="L570" s="3"/>
    </row>
    <row r="571">
      <c r="G571" s="3"/>
      <c r="L571" s="3"/>
    </row>
    <row r="572">
      <c r="G572" s="3"/>
      <c r="L572" s="3"/>
    </row>
    <row r="573">
      <c r="G573" s="3"/>
      <c r="L573" s="3"/>
    </row>
    <row r="574">
      <c r="G574" s="3"/>
      <c r="L574" s="3"/>
    </row>
    <row r="575">
      <c r="G575" s="3"/>
      <c r="L575" s="3"/>
    </row>
    <row r="576">
      <c r="G576" s="3"/>
      <c r="L576" s="3"/>
    </row>
    <row r="577">
      <c r="G577" s="3"/>
      <c r="L577" s="3"/>
    </row>
    <row r="578">
      <c r="G578" s="3"/>
      <c r="L578" s="3"/>
    </row>
    <row r="579">
      <c r="G579" s="3"/>
      <c r="L579" s="3"/>
    </row>
    <row r="580">
      <c r="G580" s="3"/>
      <c r="L580" s="3"/>
    </row>
    <row r="581">
      <c r="G581" s="3"/>
      <c r="L581" s="3"/>
    </row>
    <row r="582">
      <c r="G582" s="3"/>
      <c r="L582" s="3"/>
    </row>
    <row r="583">
      <c r="G583" s="3"/>
      <c r="L583" s="3"/>
    </row>
    <row r="584">
      <c r="G584" s="3"/>
      <c r="L584" s="3"/>
    </row>
    <row r="585">
      <c r="G585" s="3"/>
      <c r="L585" s="3"/>
    </row>
    <row r="586">
      <c r="G586" s="3"/>
      <c r="L586" s="3"/>
    </row>
    <row r="587">
      <c r="G587" s="3"/>
      <c r="L587" s="3"/>
    </row>
    <row r="588">
      <c r="G588" s="3"/>
      <c r="L588" s="3"/>
    </row>
    <row r="589">
      <c r="G589" s="3"/>
      <c r="L589" s="3"/>
    </row>
    <row r="590">
      <c r="G590" s="3"/>
      <c r="L590" s="3"/>
    </row>
    <row r="591">
      <c r="G591" s="3"/>
      <c r="L591" s="3"/>
    </row>
    <row r="592">
      <c r="G592" s="3"/>
      <c r="L592" s="3"/>
    </row>
    <row r="593">
      <c r="G593" s="3"/>
      <c r="L593" s="3"/>
    </row>
    <row r="594">
      <c r="G594" s="3"/>
      <c r="L594" s="3"/>
    </row>
    <row r="595">
      <c r="G595" s="3"/>
      <c r="L595" s="3"/>
    </row>
    <row r="596">
      <c r="G596" s="3"/>
      <c r="L596" s="3"/>
    </row>
    <row r="597">
      <c r="G597" s="3"/>
      <c r="L597" s="3"/>
    </row>
    <row r="598">
      <c r="G598" s="3"/>
      <c r="L598" s="3"/>
    </row>
    <row r="599">
      <c r="G599" s="3"/>
      <c r="L599" s="3"/>
    </row>
    <row r="600">
      <c r="G600" s="3"/>
      <c r="L600" s="3"/>
    </row>
    <row r="601">
      <c r="G601" s="3"/>
      <c r="L601" s="3"/>
    </row>
    <row r="602">
      <c r="G602" s="3"/>
      <c r="L602" s="3"/>
    </row>
    <row r="603">
      <c r="G603" s="3"/>
      <c r="L603" s="3"/>
    </row>
    <row r="604">
      <c r="G604" s="3"/>
      <c r="L604" s="3"/>
    </row>
    <row r="605">
      <c r="G605" s="3"/>
      <c r="L605" s="3"/>
    </row>
    <row r="606">
      <c r="G606" s="3"/>
      <c r="L606" s="3"/>
    </row>
    <row r="607">
      <c r="G607" s="3"/>
      <c r="L607" s="3"/>
    </row>
    <row r="608">
      <c r="G608" s="3"/>
      <c r="L608" s="3"/>
    </row>
    <row r="609">
      <c r="G609" s="3"/>
      <c r="L609" s="3"/>
    </row>
    <row r="610">
      <c r="G610" s="3"/>
      <c r="L610" s="3"/>
    </row>
    <row r="611">
      <c r="G611" s="3"/>
      <c r="L611" s="3"/>
    </row>
    <row r="612">
      <c r="G612" s="3"/>
      <c r="L612" s="3"/>
    </row>
    <row r="613">
      <c r="G613" s="3"/>
      <c r="L613" s="3"/>
    </row>
    <row r="614">
      <c r="G614" s="3"/>
      <c r="L614" s="3"/>
    </row>
    <row r="615">
      <c r="G615" s="3"/>
      <c r="L615" s="3"/>
    </row>
    <row r="616">
      <c r="G616" s="3"/>
      <c r="L616" s="3"/>
    </row>
    <row r="617">
      <c r="G617" s="3"/>
      <c r="L617" s="3"/>
    </row>
    <row r="618">
      <c r="G618" s="3"/>
      <c r="L618" s="3"/>
    </row>
    <row r="619">
      <c r="G619" s="3"/>
      <c r="L619" s="3"/>
    </row>
    <row r="620">
      <c r="G620" s="3"/>
      <c r="L620" s="3"/>
    </row>
    <row r="621">
      <c r="G621" s="3"/>
      <c r="L621" s="3"/>
    </row>
    <row r="622">
      <c r="G622" s="3"/>
      <c r="L622" s="3"/>
    </row>
    <row r="623">
      <c r="G623" s="3"/>
      <c r="L623" s="3"/>
    </row>
    <row r="624">
      <c r="G624" s="3"/>
      <c r="L624" s="3"/>
    </row>
    <row r="625">
      <c r="G625" s="3"/>
      <c r="L625" s="3"/>
    </row>
    <row r="626">
      <c r="G626" s="3"/>
      <c r="L626" s="3"/>
    </row>
    <row r="627">
      <c r="G627" s="3"/>
      <c r="L627" s="3"/>
    </row>
    <row r="628">
      <c r="G628" s="3"/>
      <c r="L628" s="3"/>
    </row>
    <row r="629">
      <c r="G629" s="3"/>
      <c r="L629" s="3"/>
    </row>
    <row r="630">
      <c r="G630" s="3"/>
      <c r="L630" s="3"/>
    </row>
    <row r="631">
      <c r="G631" s="3"/>
      <c r="L631" s="3"/>
    </row>
    <row r="632">
      <c r="G632" s="3"/>
      <c r="L632" s="3"/>
    </row>
    <row r="633">
      <c r="G633" s="3"/>
      <c r="L633" s="3"/>
    </row>
    <row r="634">
      <c r="G634" s="3"/>
      <c r="L634" s="3"/>
    </row>
    <row r="635">
      <c r="G635" s="3"/>
      <c r="L635" s="3"/>
    </row>
    <row r="636">
      <c r="G636" s="3"/>
      <c r="L636" s="3"/>
    </row>
    <row r="637">
      <c r="G637" s="3"/>
      <c r="L637" s="3"/>
    </row>
    <row r="638">
      <c r="G638" s="3"/>
      <c r="L638" s="3"/>
    </row>
    <row r="639">
      <c r="G639" s="3"/>
      <c r="L639" s="3"/>
    </row>
    <row r="640">
      <c r="G640" s="3"/>
      <c r="L640" s="3"/>
    </row>
    <row r="641">
      <c r="G641" s="3"/>
      <c r="L641" s="3"/>
    </row>
    <row r="642">
      <c r="G642" s="3"/>
      <c r="L642" s="3"/>
    </row>
    <row r="643">
      <c r="G643" s="3"/>
      <c r="L643" s="3"/>
    </row>
    <row r="644">
      <c r="G644" s="3"/>
      <c r="L644" s="3"/>
    </row>
    <row r="645">
      <c r="G645" s="3"/>
      <c r="L645" s="3"/>
    </row>
    <row r="646">
      <c r="G646" s="3"/>
      <c r="L646" s="3"/>
    </row>
    <row r="647">
      <c r="G647" s="3"/>
      <c r="L647" s="3"/>
    </row>
    <row r="648">
      <c r="G648" s="3"/>
      <c r="L648" s="3"/>
    </row>
    <row r="649">
      <c r="G649" s="3"/>
      <c r="L649" s="3"/>
    </row>
    <row r="650">
      <c r="G650" s="3"/>
      <c r="L650" s="3"/>
    </row>
    <row r="651">
      <c r="G651" s="3"/>
      <c r="L651" s="3"/>
    </row>
    <row r="652">
      <c r="G652" s="3"/>
      <c r="L652" s="3"/>
    </row>
    <row r="653">
      <c r="G653" s="3"/>
      <c r="L653" s="3"/>
    </row>
    <row r="654">
      <c r="G654" s="3"/>
      <c r="L654" s="3"/>
    </row>
    <row r="655">
      <c r="G655" s="3"/>
      <c r="L655" s="3"/>
    </row>
    <row r="656">
      <c r="G656" s="3"/>
      <c r="L656" s="3"/>
    </row>
    <row r="657">
      <c r="G657" s="3"/>
      <c r="L657" s="3"/>
    </row>
    <row r="658">
      <c r="G658" s="3"/>
      <c r="L658" s="3"/>
    </row>
    <row r="659">
      <c r="G659" s="3"/>
      <c r="L659" s="3"/>
    </row>
    <row r="660">
      <c r="G660" s="3"/>
      <c r="L660" s="3"/>
    </row>
    <row r="661">
      <c r="G661" s="3"/>
      <c r="L661" s="3"/>
    </row>
    <row r="662">
      <c r="G662" s="3"/>
      <c r="L662" s="3"/>
    </row>
    <row r="663">
      <c r="G663" s="3"/>
      <c r="L663" s="3"/>
    </row>
    <row r="664">
      <c r="G664" s="3"/>
      <c r="L664" s="3"/>
    </row>
    <row r="665">
      <c r="G665" s="3"/>
      <c r="L665" s="3"/>
    </row>
    <row r="666">
      <c r="G666" s="3"/>
      <c r="L666" s="3"/>
    </row>
    <row r="667">
      <c r="G667" s="3"/>
      <c r="L667" s="3"/>
    </row>
    <row r="668">
      <c r="G668" s="3"/>
      <c r="L668" s="3"/>
    </row>
    <row r="669">
      <c r="G669" s="3"/>
      <c r="L669" s="3"/>
    </row>
    <row r="670">
      <c r="G670" s="3"/>
      <c r="L670" s="3"/>
    </row>
    <row r="671">
      <c r="G671" s="3"/>
      <c r="L671" s="3"/>
    </row>
    <row r="672">
      <c r="G672" s="3"/>
      <c r="L672" s="3"/>
    </row>
    <row r="673">
      <c r="G673" s="3"/>
      <c r="L673" s="3"/>
    </row>
    <row r="674">
      <c r="G674" s="3"/>
      <c r="L674" s="3"/>
    </row>
    <row r="675">
      <c r="G675" s="3"/>
      <c r="L675" s="3"/>
    </row>
    <row r="676">
      <c r="G676" s="3"/>
      <c r="L676" s="3"/>
    </row>
    <row r="677">
      <c r="G677" s="3"/>
      <c r="L677" s="3"/>
    </row>
    <row r="678">
      <c r="G678" s="3"/>
      <c r="L678" s="3"/>
    </row>
    <row r="679">
      <c r="G679" s="3"/>
      <c r="L679" s="3"/>
    </row>
    <row r="680">
      <c r="G680" s="3"/>
      <c r="L680" s="3"/>
    </row>
    <row r="681">
      <c r="G681" s="3"/>
      <c r="L681" s="3"/>
    </row>
    <row r="682">
      <c r="G682" s="3"/>
      <c r="L682" s="3"/>
    </row>
    <row r="683">
      <c r="G683" s="3"/>
      <c r="L683" s="3"/>
    </row>
    <row r="684">
      <c r="G684" s="3"/>
      <c r="L684" s="3"/>
    </row>
    <row r="685">
      <c r="G685" s="3"/>
      <c r="L685" s="3"/>
    </row>
    <row r="686">
      <c r="G686" s="3"/>
      <c r="L686" s="3"/>
    </row>
    <row r="687">
      <c r="G687" s="3"/>
      <c r="L687" s="3"/>
    </row>
    <row r="688">
      <c r="G688" s="3"/>
      <c r="L688" s="3"/>
    </row>
    <row r="689">
      <c r="G689" s="3"/>
      <c r="L689" s="3"/>
    </row>
    <row r="690">
      <c r="G690" s="3"/>
      <c r="L690" s="3"/>
    </row>
    <row r="691">
      <c r="G691" s="3"/>
      <c r="L691" s="3"/>
    </row>
    <row r="692">
      <c r="G692" s="3"/>
      <c r="L692" s="3"/>
    </row>
    <row r="693">
      <c r="G693" s="3"/>
      <c r="L693" s="3"/>
    </row>
    <row r="694">
      <c r="G694" s="3"/>
      <c r="L694" s="3"/>
    </row>
    <row r="695">
      <c r="G695" s="3"/>
      <c r="L695" s="3"/>
    </row>
    <row r="696">
      <c r="G696" s="3"/>
      <c r="L696" s="3"/>
    </row>
    <row r="697">
      <c r="G697" s="3"/>
      <c r="L697" s="3"/>
    </row>
    <row r="698">
      <c r="G698" s="3"/>
      <c r="L698" s="3"/>
    </row>
    <row r="699">
      <c r="G699" s="3"/>
      <c r="L699" s="3"/>
    </row>
    <row r="700">
      <c r="G700" s="3"/>
      <c r="L700" s="3"/>
    </row>
    <row r="701">
      <c r="G701" s="3"/>
      <c r="L701" s="3"/>
    </row>
    <row r="702">
      <c r="G702" s="3"/>
      <c r="L702" s="3"/>
    </row>
    <row r="703">
      <c r="G703" s="3"/>
      <c r="L703" s="3"/>
    </row>
    <row r="704">
      <c r="G704" s="3"/>
      <c r="L704" s="3"/>
    </row>
    <row r="705">
      <c r="G705" s="3"/>
      <c r="L705" s="3"/>
    </row>
    <row r="706">
      <c r="G706" s="3"/>
      <c r="L706" s="3"/>
    </row>
    <row r="707">
      <c r="G707" s="3"/>
      <c r="L707" s="3"/>
    </row>
    <row r="708">
      <c r="G708" s="3"/>
      <c r="L708" s="3"/>
    </row>
    <row r="709">
      <c r="G709" s="3"/>
      <c r="L709" s="3"/>
    </row>
    <row r="710">
      <c r="G710" s="3"/>
      <c r="L710" s="3"/>
    </row>
    <row r="711">
      <c r="G711" s="3"/>
      <c r="L711" s="3"/>
    </row>
    <row r="712">
      <c r="G712" s="3"/>
      <c r="L712" s="3"/>
    </row>
    <row r="713">
      <c r="G713" s="3"/>
      <c r="L713" s="3"/>
    </row>
    <row r="714">
      <c r="G714" s="3"/>
      <c r="L714" s="3"/>
    </row>
    <row r="715">
      <c r="G715" s="3"/>
      <c r="L715" s="3"/>
    </row>
    <row r="716">
      <c r="G716" s="3"/>
      <c r="L716" s="3"/>
    </row>
    <row r="717">
      <c r="G717" s="3"/>
      <c r="L717" s="3"/>
    </row>
    <row r="718">
      <c r="G718" s="3"/>
      <c r="L718" s="3"/>
    </row>
    <row r="719">
      <c r="G719" s="3"/>
      <c r="L719" s="3"/>
    </row>
    <row r="720">
      <c r="G720" s="3"/>
      <c r="L720" s="3"/>
    </row>
    <row r="721">
      <c r="G721" s="3"/>
      <c r="L721" s="3"/>
    </row>
    <row r="722">
      <c r="G722" s="3"/>
      <c r="L722" s="3"/>
    </row>
    <row r="723">
      <c r="G723" s="3"/>
      <c r="L723" s="3"/>
    </row>
    <row r="724">
      <c r="G724" s="3"/>
      <c r="L724" s="3"/>
    </row>
    <row r="725">
      <c r="G725" s="3"/>
      <c r="L725" s="3"/>
    </row>
    <row r="726">
      <c r="G726" s="3"/>
      <c r="L726" s="3"/>
    </row>
    <row r="727">
      <c r="G727" s="3"/>
      <c r="L727" s="3"/>
    </row>
    <row r="728">
      <c r="G728" s="3"/>
      <c r="L728" s="3"/>
    </row>
    <row r="729">
      <c r="G729" s="3"/>
      <c r="L729" s="3"/>
    </row>
    <row r="730">
      <c r="G730" s="3"/>
      <c r="L730" s="3"/>
    </row>
    <row r="731">
      <c r="G731" s="3"/>
      <c r="L731" s="3"/>
    </row>
    <row r="732">
      <c r="G732" s="3"/>
      <c r="L732" s="3"/>
    </row>
    <row r="733">
      <c r="G733" s="3"/>
      <c r="L733" s="3"/>
    </row>
    <row r="734">
      <c r="G734" s="3"/>
      <c r="L734" s="3"/>
    </row>
    <row r="735">
      <c r="G735" s="3"/>
      <c r="L735" s="3"/>
    </row>
    <row r="736">
      <c r="G736" s="3"/>
      <c r="L736" s="3"/>
    </row>
    <row r="737">
      <c r="G737" s="3"/>
      <c r="L737" s="3"/>
    </row>
    <row r="738">
      <c r="G738" s="3"/>
      <c r="L738" s="3"/>
    </row>
    <row r="739">
      <c r="G739" s="3"/>
      <c r="L739" s="3"/>
    </row>
    <row r="740">
      <c r="G740" s="3"/>
      <c r="L740" s="3"/>
    </row>
    <row r="741">
      <c r="G741" s="3"/>
      <c r="L741" s="3"/>
    </row>
    <row r="742">
      <c r="G742" s="3"/>
      <c r="L742" s="3"/>
    </row>
    <row r="743">
      <c r="G743" s="3"/>
      <c r="L743" s="3"/>
    </row>
    <row r="744">
      <c r="G744" s="3"/>
      <c r="L744" s="3"/>
    </row>
    <row r="745">
      <c r="G745" s="3"/>
      <c r="L745" s="3"/>
    </row>
    <row r="746">
      <c r="G746" s="3"/>
      <c r="L746" s="3"/>
    </row>
    <row r="747">
      <c r="G747" s="3"/>
      <c r="L747" s="3"/>
    </row>
    <row r="748">
      <c r="G748" s="3"/>
      <c r="L748" s="3"/>
    </row>
    <row r="749">
      <c r="G749" s="3"/>
      <c r="L749" s="3"/>
    </row>
    <row r="750">
      <c r="G750" s="3"/>
      <c r="L750" s="3"/>
    </row>
    <row r="751">
      <c r="G751" s="3"/>
      <c r="L751" s="3"/>
    </row>
    <row r="752">
      <c r="G752" s="3"/>
      <c r="L752" s="3"/>
    </row>
    <row r="753">
      <c r="G753" s="3"/>
      <c r="L753" s="3"/>
    </row>
    <row r="754">
      <c r="G754" s="3"/>
      <c r="L754" s="3"/>
    </row>
    <row r="755">
      <c r="G755" s="3"/>
      <c r="L755" s="3"/>
    </row>
    <row r="756">
      <c r="G756" s="3"/>
      <c r="L756" s="3"/>
    </row>
    <row r="757">
      <c r="G757" s="3"/>
      <c r="L757" s="3"/>
    </row>
    <row r="758">
      <c r="G758" s="3"/>
      <c r="L758" s="3"/>
    </row>
    <row r="759">
      <c r="G759" s="3"/>
      <c r="L759" s="3"/>
    </row>
    <row r="760">
      <c r="G760" s="3"/>
      <c r="L760" s="3"/>
    </row>
    <row r="761">
      <c r="G761" s="3"/>
      <c r="L761" s="3"/>
    </row>
    <row r="762">
      <c r="G762" s="3"/>
      <c r="L762" s="3"/>
    </row>
    <row r="763">
      <c r="G763" s="3"/>
      <c r="L763" s="3"/>
    </row>
    <row r="764">
      <c r="G764" s="3"/>
      <c r="L764" s="3"/>
    </row>
    <row r="765">
      <c r="G765" s="3"/>
      <c r="L765" s="3"/>
    </row>
    <row r="766">
      <c r="G766" s="3"/>
      <c r="L766" s="3"/>
    </row>
    <row r="767">
      <c r="G767" s="3"/>
      <c r="L767" s="3"/>
    </row>
    <row r="768">
      <c r="G768" s="3"/>
      <c r="L768" s="3"/>
    </row>
    <row r="769">
      <c r="G769" s="3"/>
      <c r="L769" s="3"/>
    </row>
    <row r="770">
      <c r="G770" s="3"/>
      <c r="L770" s="3"/>
    </row>
    <row r="771">
      <c r="G771" s="3"/>
      <c r="L771" s="3"/>
    </row>
    <row r="772">
      <c r="G772" s="3"/>
      <c r="L772" s="3"/>
    </row>
    <row r="773">
      <c r="G773" s="3"/>
      <c r="L773" s="3"/>
    </row>
    <row r="774">
      <c r="G774" s="3"/>
      <c r="L774" s="3"/>
    </row>
    <row r="775">
      <c r="G775" s="3"/>
      <c r="L775" s="3"/>
    </row>
    <row r="776">
      <c r="G776" s="3"/>
      <c r="L776" s="3"/>
    </row>
    <row r="777">
      <c r="G777" s="3"/>
      <c r="L777" s="3"/>
    </row>
    <row r="778">
      <c r="G778" s="3"/>
      <c r="L778" s="3"/>
    </row>
    <row r="779">
      <c r="G779" s="3"/>
      <c r="L779" s="3"/>
    </row>
    <row r="780">
      <c r="G780" s="3"/>
      <c r="L780" s="3"/>
    </row>
    <row r="781">
      <c r="G781" s="3"/>
      <c r="L781" s="3"/>
    </row>
    <row r="782">
      <c r="G782" s="3"/>
      <c r="L782" s="3"/>
    </row>
    <row r="783">
      <c r="G783" s="3"/>
      <c r="L783" s="3"/>
    </row>
    <row r="784">
      <c r="G784" s="3"/>
      <c r="L784" s="3"/>
    </row>
    <row r="785">
      <c r="G785" s="3"/>
      <c r="L785" s="3"/>
    </row>
    <row r="786">
      <c r="G786" s="3"/>
      <c r="L786" s="3"/>
    </row>
    <row r="787">
      <c r="G787" s="3"/>
      <c r="L787" s="3"/>
    </row>
    <row r="788">
      <c r="G788" s="3"/>
      <c r="L788" s="3"/>
    </row>
    <row r="789">
      <c r="G789" s="3"/>
      <c r="L789" s="3"/>
    </row>
    <row r="790">
      <c r="G790" s="3"/>
      <c r="L790" s="3"/>
    </row>
    <row r="791">
      <c r="G791" s="3"/>
      <c r="L791" s="3"/>
    </row>
    <row r="792">
      <c r="G792" s="3"/>
      <c r="L792" s="3"/>
    </row>
    <row r="793">
      <c r="G793" s="3"/>
      <c r="L793" s="3"/>
    </row>
    <row r="794">
      <c r="G794" s="3"/>
      <c r="L794" s="3"/>
    </row>
    <row r="795">
      <c r="G795" s="3"/>
      <c r="L795" s="3"/>
    </row>
    <row r="796">
      <c r="G796" s="3"/>
      <c r="L796" s="3"/>
    </row>
    <row r="797">
      <c r="G797" s="3"/>
      <c r="L797" s="3"/>
    </row>
    <row r="798">
      <c r="G798" s="3"/>
      <c r="L798" s="3"/>
    </row>
    <row r="799">
      <c r="G799" s="3"/>
      <c r="L799" s="3"/>
    </row>
    <row r="800">
      <c r="G800" s="3"/>
      <c r="L800" s="3"/>
    </row>
    <row r="801">
      <c r="G801" s="3"/>
      <c r="L801" s="3"/>
    </row>
    <row r="802">
      <c r="G802" s="3"/>
      <c r="L802" s="3"/>
    </row>
    <row r="803">
      <c r="G803" s="3"/>
      <c r="L803" s="3"/>
    </row>
    <row r="804">
      <c r="G804" s="3"/>
      <c r="L804" s="3"/>
    </row>
    <row r="805">
      <c r="G805" s="3"/>
      <c r="L805" s="3"/>
    </row>
    <row r="806">
      <c r="G806" s="3"/>
      <c r="L806" s="3"/>
    </row>
    <row r="807">
      <c r="G807" s="3"/>
      <c r="L807" s="3"/>
    </row>
    <row r="808">
      <c r="G808" s="3"/>
      <c r="L808" s="3"/>
    </row>
    <row r="809">
      <c r="G809" s="3"/>
      <c r="L809" s="3"/>
    </row>
    <row r="810">
      <c r="G810" s="3"/>
      <c r="L810" s="3"/>
    </row>
    <row r="811">
      <c r="G811" s="3"/>
      <c r="L811" s="3"/>
    </row>
    <row r="812">
      <c r="G812" s="3"/>
      <c r="L812" s="3"/>
    </row>
    <row r="813">
      <c r="G813" s="3"/>
      <c r="L813" s="3"/>
    </row>
    <row r="814">
      <c r="G814" s="3"/>
      <c r="L814" s="3"/>
    </row>
    <row r="815">
      <c r="G815" s="3"/>
      <c r="L815" s="3"/>
    </row>
    <row r="816">
      <c r="G816" s="3"/>
      <c r="L816" s="3"/>
    </row>
    <row r="817">
      <c r="G817" s="3"/>
      <c r="L817" s="3"/>
    </row>
    <row r="818">
      <c r="G818" s="3"/>
      <c r="L818" s="3"/>
    </row>
    <row r="819">
      <c r="G819" s="3"/>
      <c r="L819" s="3"/>
    </row>
    <row r="820">
      <c r="G820" s="3"/>
      <c r="L820" s="3"/>
    </row>
    <row r="821">
      <c r="G821" s="3"/>
      <c r="L821" s="3"/>
    </row>
    <row r="822">
      <c r="G822" s="3"/>
      <c r="L822" s="3"/>
    </row>
    <row r="823">
      <c r="G823" s="3"/>
      <c r="L823" s="3"/>
    </row>
    <row r="824">
      <c r="G824" s="3"/>
      <c r="L824" s="3"/>
    </row>
    <row r="825">
      <c r="G825" s="3"/>
      <c r="L825" s="3"/>
    </row>
    <row r="826">
      <c r="G826" s="3"/>
      <c r="L826" s="3"/>
    </row>
    <row r="827">
      <c r="G827" s="3"/>
      <c r="L827" s="3"/>
    </row>
    <row r="828">
      <c r="G828" s="3"/>
      <c r="L828" s="3"/>
    </row>
    <row r="829">
      <c r="G829" s="3"/>
      <c r="L829" s="3"/>
    </row>
    <row r="830">
      <c r="G830" s="3"/>
      <c r="L830" s="3"/>
    </row>
    <row r="831">
      <c r="G831" s="3"/>
      <c r="L831" s="3"/>
    </row>
    <row r="832">
      <c r="G832" s="3"/>
      <c r="L832" s="3"/>
    </row>
    <row r="833">
      <c r="G833" s="3"/>
      <c r="L833" s="3"/>
    </row>
    <row r="834">
      <c r="G834" s="3"/>
      <c r="L834" s="3"/>
    </row>
    <row r="835">
      <c r="G835" s="3"/>
      <c r="L835" s="3"/>
    </row>
    <row r="836">
      <c r="G836" s="3"/>
      <c r="L836" s="3"/>
    </row>
    <row r="837">
      <c r="G837" s="3"/>
      <c r="L837" s="3"/>
    </row>
    <row r="838">
      <c r="G838" s="3"/>
      <c r="L838" s="3"/>
    </row>
    <row r="839">
      <c r="G839" s="3"/>
      <c r="L839" s="3"/>
    </row>
    <row r="840">
      <c r="G840" s="3"/>
      <c r="L840" s="3"/>
    </row>
    <row r="841">
      <c r="G841" s="3"/>
      <c r="L841" s="3"/>
    </row>
    <row r="842">
      <c r="G842" s="3"/>
      <c r="L842" s="3"/>
    </row>
    <row r="843">
      <c r="G843" s="3"/>
      <c r="L843" s="3"/>
    </row>
    <row r="844">
      <c r="G844" s="3"/>
      <c r="L844" s="3"/>
    </row>
    <row r="845">
      <c r="G845" s="3"/>
      <c r="L845" s="3"/>
    </row>
    <row r="846">
      <c r="G846" s="3"/>
      <c r="L846" s="3"/>
    </row>
    <row r="847">
      <c r="G847" s="3"/>
      <c r="L847" s="3"/>
    </row>
    <row r="848">
      <c r="G848" s="3"/>
      <c r="L848" s="3"/>
    </row>
    <row r="849">
      <c r="G849" s="3"/>
      <c r="L849" s="3"/>
    </row>
    <row r="850">
      <c r="G850" s="3"/>
      <c r="L850" s="3"/>
    </row>
    <row r="851">
      <c r="G851" s="3"/>
      <c r="L851" s="3"/>
    </row>
    <row r="852">
      <c r="G852" s="3"/>
      <c r="L852" s="3"/>
    </row>
    <row r="853">
      <c r="G853" s="3"/>
      <c r="L853" s="3"/>
    </row>
    <row r="854">
      <c r="G854" s="3"/>
      <c r="L854" s="3"/>
    </row>
    <row r="855">
      <c r="G855" s="3"/>
      <c r="L855" s="3"/>
    </row>
    <row r="856">
      <c r="G856" s="3"/>
      <c r="L856" s="3"/>
    </row>
    <row r="857">
      <c r="G857" s="3"/>
      <c r="L857" s="3"/>
    </row>
    <row r="858">
      <c r="G858" s="3"/>
      <c r="L858" s="3"/>
    </row>
    <row r="859">
      <c r="G859" s="3"/>
      <c r="L859" s="3"/>
    </row>
    <row r="860">
      <c r="G860" s="3"/>
      <c r="L860" s="3"/>
    </row>
    <row r="861">
      <c r="G861" s="3"/>
      <c r="L861" s="3"/>
    </row>
    <row r="862">
      <c r="G862" s="3"/>
      <c r="L862" s="3"/>
    </row>
    <row r="863">
      <c r="G863" s="3"/>
      <c r="L863" s="3"/>
    </row>
    <row r="864">
      <c r="G864" s="3"/>
      <c r="L864" s="3"/>
    </row>
    <row r="865">
      <c r="G865" s="3"/>
      <c r="L865" s="3"/>
    </row>
    <row r="866">
      <c r="G866" s="3"/>
      <c r="L866" s="3"/>
    </row>
    <row r="867">
      <c r="G867" s="3"/>
      <c r="L867" s="3"/>
    </row>
    <row r="868">
      <c r="G868" s="3"/>
      <c r="L868" s="3"/>
    </row>
    <row r="869">
      <c r="G869" s="3"/>
      <c r="L869" s="3"/>
    </row>
    <row r="870">
      <c r="G870" s="3"/>
      <c r="L870" s="3"/>
    </row>
    <row r="871">
      <c r="G871" s="3"/>
      <c r="L871" s="3"/>
    </row>
    <row r="872">
      <c r="G872" s="3"/>
      <c r="L872" s="3"/>
    </row>
    <row r="873">
      <c r="G873" s="3"/>
      <c r="L873" s="3"/>
    </row>
    <row r="874">
      <c r="G874" s="3"/>
      <c r="L874" s="3"/>
    </row>
    <row r="875">
      <c r="G875" s="3"/>
      <c r="L875" s="3"/>
    </row>
    <row r="876">
      <c r="G876" s="3"/>
      <c r="L876" s="3"/>
    </row>
    <row r="877">
      <c r="G877" s="3"/>
      <c r="L877" s="3"/>
    </row>
    <row r="878">
      <c r="G878" s="3"/>
      <c r="L878" s="3"/>
    </row>
    <row r="879">
      <c r="G879" s="3"/>
      <c r="L879" s="3"/>
    </row>
    <row r="880">
      <c r="G880" s="3"/>
      <c r="L880" s="3"/>
    </row>
    <row r="881">
      <c r="G881" s="3"/>
      <c r="L881" s="3"/>
    </row>
    <row r="882">
      <c r="G882" s="3"/>
      <c r="L882" s="3"/>
    </row>
    <row r="883">
      <c r="G883" s="3"/>
      <c r="L883" s="3"/>
    </row>
    <row r="884">
      <c r="G884" s="3"/>
      <c r="L884" s="3"/>
    </row>
    <row r="885">
      <c r="G885" s="3"/>
      <c r="L885" s="3"/>
    </row>
    <row r="886">
      <c r="G886" s="3"/>
      <c r="L886" s="3"/>
    </row>
    <row r="887">
      <c r="G887" s="3"/>
      <c r="L887" s="3"/>
    </row>
    <row r="888">
      <c r="G888" s="3"/>
      <c r="L888" s="3"/>
    </row>
    <row r="889">
      <c r="G889" s="3"/>
      <c r="L889" s="3"/>
    </row>
    <row r="890">
      <c r="G890" s="3"/>
      <c r="L890" s="3"/>
    </row>
    <row r="891">
      <c r="G891" s="3"/>
      <c r="L891" s="3"/>
    </row>
    <row r="892">
      <c r="G892" s="3"/>
      <c r="L892" s="3"/>
    </row>
    <row r="893">
      <c r="G893" s="3"/>
      <c r="L893" s="3"/>
    </row>
    <row r="894">
      <c r="G894" s="3"/>
      <c r="L894" s="3"/>
    </row>
    <row r="895">
      <c r="G895" s="3"/>
      <c r="L895" s="3"/>
    </row>
    <row r="896">
      <c r="G896" s="3"/>
      <c r="L896" s="3"/>
    </row>
    <row r="897">
      <c r="G897" s="3"/>
      <c r="L897" s="3"/>
    </row>
    <row r="898">
      <c r="G898" s="3"/>
      <c r="L898" s="3"/>
    </row>
    <row r="899">
      <c r="G899" s="3"/>
      <c r="L899" s="3"/>
    </row>
    <row r="900">
      <c r="G900" s="3"/>
      <c r="L900" s="3"/>
    </row>
    <row r="901">
      <c r="G901" s="3"/>
      <c r="L901" s="3"/>
    </row>
    <row r="902">
      <c r="G902" s="3"/>
      <c r="L902" s="3"/>
    </row>
    <row r="903">
      <c r="G903" s="3"/>
      <c r="L903" s="3"/>
    </row>
    <row r="904">
      <c r="G904" s="3"/>
      <c r="L904" s="3"/>
    </row>
    <row r="905">
      <c r="G905" s="3"/>
      <c r="L905" s="3"/>
    </row>
    <row r="906">
      <c r="G906" s="3"/>
      <c r="L906" s="3"/>
    </row>
    <row r="907">
      <c r="G907" s="3"/>
      <c r="L907" s="3"/>
    </row>
    <row r="908">
      <c r="G908" s="3"/>
      <c r="L908" s="3"/>
    </row>
    <row r="909">
      <c r="G909" s="3"/>
      <c r="L909" s="3"/>
    </row>
    <row r="910">
      <c r="G910" s="3"/>
      <c r="L910" s="3"/>
    </row>
    <row r="911">
      <c r="G911" s="3"/>
      <c r="L911" s="3"/>
    </row>
    <row r="912">
      <c r="G912" s="3"/>
      <c r="L912" s="3"/>
    </row>
    <row r="913">
      <c r="G913" s="3"/>
      <c r="L913" s="3"/>
    </row>
    <row r="914">
      <c r="G914" s="3"/>
      <c r="L914" s="3"/>
    </row>
    <row r="915">
      <c r="G915" s="3"/>
      <c r="L915" s="3"/>
    </row>
    <row r="916">
      <c r="G916" s="3"/>
      <c r="L916" s="3"/>
    </row>
    <row r="917">
      <c r="G917" s="3"/>
      <c r="L917" s="3"/>
    </row>
    <row r="918">
      <c r="G918" s="3"/>
      <c r="L918" s="3"/>
    </row>
    <row r="919">
      <c r="G919" s="3"/>
      <c r="L919" s="3"/>
    </row>
    <row r="920">
      <c r="G920" s="3"/>
      <c r="L920" s="3"/>
    </row>
    <row r="921">
      <c r="G921" s="3"/>
      <c r="L921" s="3"/>
    </row>
    <row r="922">
      <c r="G922" s="3"/>
      <c r="L922" s="3"/>
    </row>
    <row r="923">
      <c r="G923" s="3"/>
      <c r="L923" s="3"/>
    </row>
    <row r="924">
      <c r="G924" s="3"/>
      <c r="L924" s="3"/>
    </row>
    <row r="925">
      <c r="G925" s="3"/>
      <c r="L925" s="3"/>
    </row>
    <row r="926">
      <c r="G926" s="3"/>
      <c r="L926" s="3"/>
    </row>
    <row r="927">
      <c r="G927" s="3"/>
      <c r="L927" s="3"/>
    </row>
    <row r="928">
      <c r="G928" s="3"/>
      <c r="L928" s="3"/>
    </row>
    <row r="929">
      <c r="G929" s="3"/>
      <c r="L929" s="3"/>
    </row>
    <row r="930">
      <c r="G930" s="3"/>
      <c r="L930" s="3"/>
    </row>
    <row r="931">
      <c r="G931" s="3"/>
      <c r="L931" s="3"/>
    </row>
    <row r="932">
      <c r="G932" s="3"/>
      <c r="L932" s="3"/>
    </row>
    <row r="933">
      <c r="G933" s="3"/>
      <c r="L933" s="3"/>
    </row>
    <row r="934">
      <c r="G934" s="3"/>
      <c r="L934" s="3"/>
    </row>
    <row r="935">
      <c r="G935" s="3"/>
      <c r="L935" s="3"/>
    </row>
    <row r="936">
      <c r="G936" s="3"/>
      <c r="L936" s="3"/>
    </row>
    <row r="937">
      <c r="G937" s="3"/>
      <c r="L937" s="3"/>
    </row>
    <row r="938">
      <c r="G938" s="3"/>
      <c r="L938" s="3"/>
    </row>
    <row r="939">
      <c r="G939" s="3"/>
      <c r="L939" s="3"/>
    </row>
    <row r="940">
      <c r="G940" s="3"/>
      <c r="L940" s="3"/>
    </row>
    <row r="941">
      <c r="G941" s="3"/>
      <c r="L941" s="3"/>
    </row>
    <row r="942">
      <c r="G942" s="3"/>
      <c r="L942" s="3"/>
    </row>
    <row r="943">
      <c r="G943" s="3"/>
      <c r="L943" s="3"/>
    </row>
    <row r="944">
      <c r="G944" s="3"/>
      <c r="L944" s="3"/>
    </row>
    <row r="945">
      <c r="G945" s="3"/>
      <c r="L945" s="3"/>
    </row>
    <row r="946">
      <c r="G946" s="3"/>
      <c r="L946" s="3"/>
    </row>
    <row r="947">
      <c r="G947" s="3"/>
      <c r="L947" s="3"/>
    </row>
    <row r="948">
      <c r="G948" s="3"/>
      <c r="L948" s="3"/>
    </row>
    <row r="949">
      <c r="G949" s="3"/>
      <c r="L949" s="3"/>
    </row>
    <row r="950">
      <c r="G950" s="3"/>
      <c r="L950" s="3"/>
    </row>
    <row r="951">
      <c r="G951" s="3"/>
      <c r="L951" s="3"/>
    </row>
    <row r="952">
      <c r="G952" s="3"/>
      <c r="L952" s="3"/>
    </row>
    <row r="953">
      <c r="G953" s="3"/>
      <c r="L953" s="3"/>
    </row>
    <row r="954">
      <c r="G954" s="3"/>
      <c r="L954" s="3"/>
    </row>
    <row r="955">
      <c r="G955" s="3"/>
      <c r="L955" s="3"/>
    </row>
    <row r="956">
      <c r="G956" s="3"/>
      <c r="L956" s="3"/>
    </row>
    <row r="957">
      <c r="G957" s="3"/>
      <c r="L957" s="3"/>
    </row>
    <row r="958">
      <c r="G958" s="3"/>
      <c r="L958" s="3"/>
    </row>
    <row r="959">
      <c r="G959" s="3"/>
      <c r="L959" s="3"/>
    </row>
    <row r="960">
      <c r="G960" s="3"/>
      <c r="L960" s="3"/>
    </row>
    <row r="961">
      <c r="G961" s="3"/>
      <c r="L961" s="3"/>
    </row>
    <row r="962">
      <c r="G962" s="3"/>
      <c r="L962" s="3"/>
    </row>
    <row r="963">
      <c r="G963" s="3"/>
      <c r="L963" s="3"/>
    </row>
    <row r="964">
      <c r="G964" s="3"/>
      <c r="L964" s="3"/>
    </row>
    <row r="965">
      <c r="G965" s="3"/>
      <c r="L965" s="3"/>
    </row>
    <row r="966">
      <c r="G966" s="3"/>
      <c r="L966" s="3"/>
    </row>
    <row r="967">
      <c r="G967" s="3"/>
      <c r="L967" s="3"/>
    </row>
    <row r="968">
      <c r="G968" s="3"/>
      <c r="L968" s="3"/>
    </row>
    <row r="969">
      <c r="G969" s="3"/>
      <c r="L969" s="3"/>
    </row>
    <row r="970">
      <c r="G970" s="3"/>
      <c r="L970" s="3"/>
    </row>
    <row r="971">
      <c r="G971" s="3"/>
      <c r="L971" s="3"/>
    </row>
    <row r="972">
      <c r="G972" s="3"/>
      <c r="L972" s="3"/>
    </row>
    <row r="973">
      <c r="G973" s="3"/>
      <c r="L973" s="3"/>
    </row>
    <row r="974">
      <c r="G974" s="3"/>
      <c r="L974" s="3"/>
    </row>
    <row r="975">
      <c r="G975" s="3"/>
      <c r="L975" s="3"/>
    </row>
    <row r="976">
      <c r="G976" s="3"/>
      <c r="L976" s="3"/>
    </row>
    <row r="977">
      <c r="G977" s="3"/>
      <c r="L977" s="3"/>
    </row>
    <row r="978">
      <c r="G978" s="3"/>
      <c r="L978" s="3"/>
    </row>
    <row r="979">
      <c r="G979" s="3"/>
      <c r="L979" s="3"/>
    </row>
    <row r="980">
      <c r="G980" s="3"/>
      <c r="L980" s="3"/>
    </row>
    <row r="981">
      <c r="G981" s="3"/>
      <c r="L981" s="3"/>
    </row>
    <row r="982">
      <c r="G982" s="3"/>
      <c r="L982" s="3"/>
    </row>
    <row r="983">
      <c r="G983" s="3"/>
      <c r="L983" s="3"/>
    </row>
    <row r="984">
      <c r="G984" s="3"/>
      <c r="L984" s="3"/>
    </row>
    <row r="985">
      <c r="G985" s="3"/>
      <c r="L985" s="3"/>
    </row>
    <row r="986">
      <c r="G986" s="3"/>
      <c r="L986" s="3"/>
    </row>
    <row r="987">
      <c r="G987" s="3"/>
      <c r="L987" s="3"/>
    </row>
    <row r="988">
      <c r="G988" s="3"/>
      <c r="L988" s="3"/>
    </row>
    <row r="989">
      <c r="G989" s="3"/>
      <c r="L989" s="3"/>
    </row>
    <row r="990">
      <c r="G990" s="3"/>
      <c r="L990" s="3"/>
    </row>
    <row r="991">
      <c r="G991" s="3"/>
      <c r="L991" s="3"/>
    </row>
    <row r="992">
      <c r="G992" s="3"/>
      <c r="L992" s="3"/>
    </row>
    <row r="993">
      <c r="G993" s="3"/>
      <c r="L993" s="3"/>
    </row>
    <row r="994">
      <c r="G994" s="3"/>
      <c r="L994" s="3"/>
    </row>
    <row r="995">
      <c r="G995" s="3"/>
      <c r="L995" s="3"/>
    </row>
    <row r="996">
      <c r="G996" s="3"/>
      <c r="L996" s="3"/>
    </row>
    <row r="997">
      <c r="G997" s="3"/>
      <c r="L997" s="3"/>
    </row>
    <row r="998">
      <c r="G998" s="3"/>
      <c r="L998" s="3"/>
    </row>
    <row r="999">
      <c r="G999" s="3"/>
      <c r="L999" s="3"/>
    </row>
  </sheetData>
  <conditionalFormatting sqref="L2:L999">
    <cfRule type="cellIs" dxfId="9" priority="1" operator="equal">
      <formula>"A+"</formula>
    </cfRule>
  </conditionalFormatting>
  <conditionalFormatting sqref="L2:L999">
    <cfRule type="cellIs" dxfId="9" priority="2" operator="equal">
      <formula>"A"</formula>
    </cfRule>
  </conditionalFormatting>
  <conditionalFormatting sqref="L2:L999">
    <cfRule type="cellIs" dxfId="10" priority="3" operator="equal">
      <formula>"B"</formula>
    </cfRule>
  </conditionalFormatting>
  <conditionalFormatting sqref="L1:L999">
    <cfRule type="cellIs" dxfId="10" priority="4" operator="equal">
      <formula>"B+"</formula>
    </cfRule>
  </conditionalFormatting>
  <conditionalFormatting sqref="L2:L999">
    <cfRule type="cellIs" dxfId="2" priority="5" operator="equal">
      <formula>"C+"</formula>
    </cfRule>
  </conditionalFormatting>
  <conditionalFormatting sqref="L2:L999">
    <cfRule type="cellIs" dxfId="11" priority="6" operator="equal">
      <formula>"C"</formula>
    </cfRule>
  </conditionalFormatting>
  <conditionalFormatting sqref="L2:L999">
    <cfRule type="cellIs" dxfId="1" priority="7" operator="equal">
      <formula>"D"</formula>
    </cfRule>
  </conditionalFormatting>
  <conditionalFormatting sqref="L2:L999">
    <cfRule type="cellIs" dxfId="6" priority="8" operator="equal">
      <formula>"F"</formula>
    </cfRule>
  </conditionalFormatting>
  <dataValidations>
    <dataValidation type="list" allowBlank="1" showErrorMessage="1" sqref="G2:G999">
      <formula1>"Lab Work,Assignment,Project,Quiz,Test"</formula1>
    </dataValidation>
    <dataValidation type="list" allowBlank="1" showErrorMessage="1" sqref="L2:L999">
      <formula1>"A,A+,B,B+,C,C+,D,F"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116</v>
      </c>
      <c r="C1" s="1" t="s">
        <v>0</v>
      </c>
      <c r="D1" s="1" t="s">
        <v>1</v>
      </c>
      <c r="E1" s="1" t="s">
        <v>4</v>
      </c>
      <c r="F1" s="1" t="s">
        <v>117</v>
      </c>
      <c r="G1" s="1" t="s">
        <v>118</v>
      </c>
      <c r="H1" s="1" t="s">
        <v>9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</row>
    <row r="2">
      <c r="A2" s="4">
        <v>45306.0</v>
      </c>
      <c r="B2" s="8">
        <v>0.7501736111111111</v>
      </c>
      <c r="C2" s="1" t="s">
        <v>10</v>
      </c>
      <c r="D2" s="1" t="s">
        <v>11</v>
      </c>
      <c r="E2" s="1" t="s">
        <v>13</v>
      </c>
      <c r="F2" s="1" t="s">
        <v>125</v>
      </c>
      <c r="G2" s="1" t="s">
        <v>126</v>
      </c>
      <c r="H2" s="1" t="s">
        <v>127</v>
      </c>
      <c r="I2" s="3">
        <f>+919876543210</f>
        <v>919876543210</v>
      </c>
      <c r="K2" s="1" t="s">
        <v>128</v>
      </c>
      <c r="L2" s="1" t="s">
        <v>129</v>
      </c>
      <c r="M2" s="1">
        <v>0.0</v>
      </c>
      <c r="N2" s="1" t="s">
        <v>130</v>
      </c>
    </row>
    <row r="3">
      <c r="A3" s="4">
        <v>45306.0</v>
      </c>
      <c r="B3" s="8">
        <v>0.7503703703703704</v>
      </c>
      <c r="C3" s="1" t="s">
        <v>17</v>
      </c>
      <c r="D3" s="1" t="s">
        <v>18</v>
      </c>
      <c r="E3" s="1" t="s">
        <v>19</v>
      </c>
      <c r="F3" s="1" t="s">
        <v>125</v>
      </c>
      <c r="G3" s="1" t="s">
        <v>131</v>
      </c>
      <c r="H3" s="1" t="s">
        <v>132</v>
      </c>
      <c r="J3" s="1" t="s">
        <v>133</v>
      </c>
      <c r="K3" s="1" t="s">
        <v>134</v>
      </c>
      <c r="L3" s="1" t="s">
        <v>135</v>
      </c>
      <c r="M3" s="1">
        <v>1.0</v>
      </c>
      <c r="N3" s="1" t="s">
        <v>136</v>
      </c>
    </row>
    <row r="4">
      <c r="A4" s="4">
        <v>45306.0</v>
      </c>
      <c r="B4" s="8">
        <v>0.7505208333333333</v>
      </c>
      <c r="C4" s="1" t="s">
        <v>21</v>
      </c>
      <c r="D4" s="1" t="s">
        <v>22</v>
      </c>
      <c r="E4" s="1" t="s">
        <v>24</v>
      </c>
      <c r="F4" s="1" t="s">
        <v>125</v>
      </c>
      <c r="G4" s="1" t="s">
        <v>126</v>
      </c>
      <c r="H4" s="1" t="s">
        <v>127</v>
      </c>
      <c r="I4" s="3">
        <f>+919876543216</f>
        <v>919876543216</v>
      </c>
      <c r="K4" s="1" t="s">
        <v>137</v>
      </c>
      <c r="L4" s="1" t="s">
        <v>129</v>
      </c>
      <c r="M4" s="1">
        <v>0.0</v>
      </c>
      <c r="N4" s="1" t="s">
        <v>130</v>
      </c>
    </row>
    <row r="5">
      <c r="A5" s="4">
        <v>45907.0</v>
      </c>
      <c r="B5" s="1" t="s">
        <v>10</v>
      </c>
      <c r="C5" s="1" t="s">
        <v>10</v>
      </c>
      <c r="D5" s="1" t="s">
        <v>11</v>
      </c>
      <c r="E5" s="1" t="s">
        <v>13</v>
      </c>
    </row>
    <row r="6">
      <c r="A6" s="4">
        <v>45907.0</v>
      </c>
      <c r="B6" s="1" t="s">
        <v>10</v>
      </c>
      <c r="C6" s="1" t="s">
        <v>10</v>
      </c>
      <c r="D6" s="1" t="s">
        <v>11</v>
      </c>
      <c r="E6" s="1" t="s">
        <v>13</v>
      </c>
      <c r="F6" s="1" t="s">
        <v>138</v>
      </c>
      <c r="G6" s="1" t="s">
        <v>125</v>
      </c>
      <c r="H6" s="1" t="s">
        <v>139</v>
      </c>
      <c r="I6" s="1" t="s">
        <v>14</v>
      </c>
      <c r="J6" s="1" t="s">
        <v>15</v>
      </c>
      <c r="K6" s="1" t="s">
        <v>140</v>
      </c>
      <c r="N6" s="1" t="s">
        <v>139</v>
      </c>
    </row>
    <row r="7">
      <c r="A7" s="4">
        <v>45907.0</v>
      </c>
      <c r="B7" s="1" t="s">
        <v>10</v>
      </c>
      <c r="C7" s="1" t="s">
        <v>10</v>
      </c>
      <c r="D7" s="1" t="s">
        <v>11</v>
      </c>
      <c r="E7" s="1" t="s">
        <v>13</v>
      </c>
      <c r="F7" s="1" t="s">
        <v>141</v>
      </c>
      <c r="G7" s="1" t="s">
        <v>125</v>
      </c>
      <c r="H7" s="1" t="s">
        <v>139</v>
      </c>
      <c r="I7" s="1" t="s">
        <v>14</v>
      </c>
      <c r="J7" s="1" t="s">
        <v>15</v>
      </c>
      <c r="K7" s="1" t="s">
        <v>140</v>
      </c>
      <c r="N7" s="1" t="s">
        <v>139</v>
      </c>
    </row>
    <row r="8">
      <c r="A8" s="4">
        <v>45907.0</v>
      </c>
      <c r="B8" s="1" t="s">
        <v>10</v>
      </c>
      <c r="C8" s="1" t="s">
        <v>10</v>
      </c>
      <c r="D8" s="1" t="s">
        <v>11</v>
      </c>
      <c r="E8" s="1" t="s">
        <v>13</v>
      </c>
      <c r="F8" s="1" t="s">
        <v>141</v>
      </c>
      <c r="G8" s="1" t="s">
        <v>125</v>
      </c>
      <c r="H8" s="1" t="s">
        <v>139</v>
      </c>
      <c r="I8" s="1" t="s">
        <v>14</v>
      </c>
      <c r="J8" s="1" t="s">
        <v>15</v>
      </c>
      <c r="K8" s="1" t="s">
        <v>140</v>
      </c>
      <c r="N8" s="1" t="s">
        <v>139</v>
      </c>
    </row>
    <row r="9">
      <c r="A9" s="4">
        <v>45907.0</v>
      </c>
      <c r="B9" s="1" t="s">
        <v>10</v>
      </c>
      <c r="C9" s="1" t="s">
        <v>10</v>
      </c>
      <c r="D9" s="1" t="s">
        <v>11</v>
      </c>
      <c r="E9" s="1" t="s">
        <v>13</v>
      </c>
      <c r="F9" s="1" t="s">
        <v>141</v>
      </c>
      <c r="G9" s="1" t="s">
        <v>125</v>
      </c>
      <c r="H9" s="1" t="s">
        <v>139</v>
      </c>
      <c r="I9" s="1" t="s">
        <v>14</v>
      </c>
      <c r="J9" s="1" t="s">
        <v>15</v>
      </c>
      <c r="K9" s="1" t="s">
        <v>140</v>
      </c>
      <c r="N9" s="1" t="s">
        <v>139</v>
      </c>
    </row>
    <row r="10">
      <c r="A10" s="4">
        <v>45907.0</v>
      </c>
      <c r="B10" s="1" t="s">
        <v>10</v>
      </c>
      <c r="C10" s="1" t="s">
        <v>10</v>
      </c>
      <c r="D10" s="1" t="s">
        <v>11</v>
      </c>
      <c r="E10" s="1" t="s">
        <v>13</v>
      </c>
      <c r="F10" s="1" t="s">
        <v>142</v>
      </c>
      <c r="G10" s="1" t="s">
        <v>125</v>
      </c>
      <c r="H10" s="1" t="s">
        <v>139</v>
      </c>
      <c r="I10" s="1" t="s">
        <v>14</v>
      </c>
      <c r="J10" s="1" t="s">
        <v>15</v>
      </c>
      <c r="K10" s="1" t="s">
        <v>140</v>
      </c>
      <c r="N10" s="1" t="s">
        <v>139</v>
      </c>
    </row>
    <row r="11">
      <c r="A11" s="4">
        <v>45907.0</v>
      </c>
      <c r="B11" s="1" t="s">
        <v>21</v>
      </c>
      <c r="C11" s="1" t="s">
        <v>21</v>
      </c>
      <c r="D11" s="1" t="s">
        <v>22</v>
      </c>
      <c r="E11" s="1" t="s">
        <v>24</v>
      </c>
      <c r="F11" s="1" t="s">
        <v>142</v>
      </c>
      <c r="G11" s="1" t="s">
        <v>125</v>
      </c>
      <c r="H11" s="1" t="s">
        <v>139</v>
      </c>
      <c r="I11" s="1" t="s">
        <v>25</v>
      </c>
      <c r="J11" s="1" t="s">
        <v>15</v>
      </c>
      <c r="K11" s="1" t="s">
        <v>143</v>
      </c>
      <c r="N11" s="1" t="s">
        <v>139</v>
      </c>
    </row>
    <row r="12">
      <c r="A12" s="4">
        <v>45907.0</v>
      </c>
      <c r="B12" s="1" t="s">
        <v>26</v>
      </c>
      <c r="C12" s="1" t="s">
        <v>26</v>
      </c>
      <c r="D12" s="1" t="s">
        <v>27</v>
      </c>
      <c r="E12" s="1" t="s">
        <v>28</v>
      </c>
      <c r="F12" s="1" t="s">
        <v>142</v>
      </c>
      <c r="G12" s="1" t="s">
        <v>125</v>
      </c>
      <c r="H12" s="1" t="s">
        <v>139</v>
      </c>
      <c r="I12" s="1" t="s">
        <v>29</v>
      </c>
      <c r="J12" s="1" t="s">
        <v>30</v>
      </c>
      <c r="K12" s="1" t="s">
        <v>144</v>
      </c>
      <c r="N12" s="1" t="s">
        <v>139</v>
      </c>
    </row>
    <row r="13">
      <c r="A13" s="4">
        <v>45907.0</v>
      </c>
      <c r="B13" s="1" t="s">
        <v>31</v>
      </c>
      <c r="C13" s="1" t="s">
        <v>31</v>
      </c>
      <c r="D13" s="1" t="s">
        <v>32</v>
      </c>
      <c r="E13" s="1" t="s">
        <v>34</v>
      </c>
      <c r="F13" s="1" t="s">
        <v>142</v>
      </c>
      <c r="G13" s="1" t="s">
        <v>125</v>
      </c>
      <c r="H13" s="1" t="s">
        <v>139</v>
      </c>
      <c r="I13" s="1" t="s">
        <v>35</v>
      </c>
      <c r="J13" s="1" t="s">
        <v>36</v>
      </c>
      <c r="K13" s="1" t="s">
        <v>145</v>
      </c>
      <c r="N13" s="1" t="s">
        <v>139</v>
      </c>
    </row>
    <row r="14">
      <c r="A14" s="4">
        <v>45907.0</v>
      </c>
      <c r="B14" s="1" t="s">
        <v>10</v>
      </c>
      <c r="C14" s="1" t="s">
        <v>10</v>
      </c>
      <c r="D14" s="1" t="s">
        <v>11</v>
      </c>
      <c r="E14" s="1" t="s">
        <v>13</v>
      </c>
      <c r="F14" s="1" t="s">
        <v>142</v>
      </c>
      <c r="G14" s="1" t="s">
        <v>125</v>
      </c>
      <c r="H14" s="1" t="s">
        <v>139</v>
      </c>
      <c r="I14" s="1" t="s">
        <v>14</v>
      </c>
      <c r="J14" s="1" t="s">
        <v>15</v>
      </c>
      <c r="N14" s="1" t="s">
        <v>139</v>
      </c>
    </row>
    <row r="15">
      <c r="A15" s="4">
        <v>45907.0</v>
      </c>
      <c r="B15" s="1" t="s">
        <v>21</v>
      </c>
      <c r="C15" s="1" t="s">
        <v>21</v>
      </c>
      <c r="D15" s="1" t="s">
        <v>22</v>
      </c>
      <c r="E15" s="1" t="s">
        <v>24</v>
      </c>
      <c r="F15" s="1" t="s">
        <v>142</v>
      </c>
      <c r="G15" s="1" t="s">
        <v>125</v>
      </c>
      <c r="H15" s="1" t="s">
        <v>139</v>
      </c>
      <c r="I15" s="1" t="s">
        <v>25</v>
      </c>
      <c r="J15" s="1" t="s">
        <v>15</v>
      </c>
      <c r="N15" s="1" t="s">
        <v>139</v>
      </c>
    </row>
    <row r="16">
      <c r="A16" s="4">
        <v>45907.0</v>
      </c>
      <c r="B16" s="1" t="s">
        <v>10</v>
      </c>
      <c r="C16" s="1" t="s">
        <v>10</v>
      </c>
      <c r="D16" s="1" t="s">
        <v>11</v>
      </c>
      <c r="E16" s="1" t="s">
        <v>13</v>
      </c>
      <c r="F16" s="1" t="s">
        <v>142</v>
      </c>
      <c r="G16" s="1" t="s">
        <v>125</v>
      </c>
      <c r="H16" s="1" t="s">
        <v>139</v>
      </c>
      <c r="I16" s="1" t="s">
        <v>14</v>
      </c>
      <c r="J16" s="1" t="s">
        <v>15</v>
      </c>
      <c r="N16" s="1" t="s">
        <v>139</v>
      </c>
    </row>
    <row r="17">
      <c r="A17" s="4">
        <v>45907.0</v>
      </c>
      <c r="B17" s="1" t="s">
        <v>21</v>
      </c>
      <c r="C17" s="1" t="s">
        <v>21</v>
      </c>
      <c r="D17" s="1" t="s">
        <v>22</v>
      </c>
      <c r="E17" s="1" t="s">
        <v>24</v>
      </c>
      <c r="F17" s="1" t="s">
        <v>142</v>
      </c>
      <c r="G17" s="1" t="s">
        <v>125</v>
      </c>
      <c r="H17" s="1" t="s">
        <v>139</v>
      </c>
      <c r="I17" s="1" t="s">
        <v>25</v>
      </c>
      <c r="J17" s="1" t="s">
        <v>15</v>
      </c>
      <c r="N17" s="1" t="s">
        <v>139</v>
      </c>
    </row>
    <row r="18">
      <c r="A18" s="4">
        <v>45907.0</v>
      </c>
      <c r="B18" s="1" t="s">
        <v>26</v>
      </c>
      <c r="C18" s="1" t="s">
        <v>26</v>
      </c>
      <c r="D18" s="1" t="s">
        <v>27</v>
      </c>
      <c r="E18" s="1" t="s">
        <v>28</v>
      </c>
      <c r="F18" s="1" t="s">
        <v>142</v>
      </c>
      <c r="G18" s="1" t="s">
        <v>125</v>
      </c>
      <c r="H18" s="1" t="s">
        <v>139</v>
      </c>
      <c r="I18" s="1" t="s">
        <v>29</v>
      </c>
      <c r="J18" s="1" t="s">
        <v>30</v>
      </c>
      <c r="N18" s="1" t="s">
        <v>139</v>
      </c>
    </row>
    <row r="19">
      <c r="A19" s="4">
        <v>45907.0</v>
      </c>
      <c r="B19" s="1" t="s">
        <v>10</v>
      </c>
      <c r="C19" s="1" t="s">
        <v>10</v>
      </c>
      <c r="D19" s="1" t="s">
        <v>11</v>
      </c>
      <c r="E19" s="1" t="s">
        <v>13</v>
      </c>
      <c r="F19" s="1" t="s">
        <v>142</v>
      </c>
      <c r="G19" s="1" t="s">
        <v>125</v>
      </c>
      <c r="H19" s="1" t="s">
        <v>139</v>
      </c>
      <c r="I19" s="1" t="s">
        <v>14</v>
      </c>
      <c r="J19" s="1" t="s">
        <v>15</v>
      </c>
      <c r="N19" s="1" t="s">
        <v>139</v>
      </c>
    </row>
    <row r="20">
      <c r="A20" s="4">
        <v>45907.0</v>
      </c>
      <c r="B20" s="1" t="s">
        <v>21</v>
      </c>
      <c r="C20" s="1" t="s">
        <v>21</v>
      </c>
      <c r="D20" s="1" t="s">
        <v>22</v>
      </c>
      <c r="E20" s="1" t="s">
        <v>24</v>
      </c>
      <c r="F20" s="1" t="s">
        <v>142</v>
      </c>
      <c r="G20" s="1" t="s">
        <v>125</v>
      </c>
      <c r="H20" s="1" t="s">
        <v>139</v>
      </c>
      <c r="I20" s="1" t="s">
        <v>25</v>
      </c>
      <c r="J20" s="1" t="s">
        <v>15</v>
      </c>
      <c r="N20" s="1" t="s">
        <v>139</v>
      </c>
    </row>
    <row r="21">
      <c r="A21" s="4">
        <v>45907.0</v>
      </c>
      <c r="B21" s="1" t="s">
        <v>26</v>
      </c>
      <c r="C21" s="1" t="s">
        <v>26</v>
      </c>
      <c r="D21" s="1" t="s">
        <v>27</v>
      </c>
      <c r="E21" s="1" t="s">
        <v>28</v>
      </c>
      <c r="F21" s="1" t="s">
        <v>142</v>
      </c>
      <c r="G21" s="1" t="s">
        <v>125</v>
      </c>
      <c r="H21" s="1" t="s">
        <v>139</v>
      </c>
      <c r="I21" s="1" t="s">
        <v>29</v>
      </c>
      <c r="J21" s="1" t="s">
        <v>30</v>
      </c>
      <c r="N21" s="1" t="s">
        <v>139</v>
      </c>
    </row>
    <row r="22">
      <c r="A22" s="4">
        <v>45907.0</v>
      </c>
      <c r="B22" s="1" t="s">
        <v>31</v>
      </c>
      <c r="C22" s="1" t="s">
        <v>31</v>
      </c>
      <c r="D22" s="1" t="s">
        <v>32</v>
      </c>
      <c r="E22" s="1" t="s">
        <v>34</v>
      </c>
      <c r="F22" s="1" t="s">
        <v>142</v>
      </c>
      <c r="G22" s="1" t="s">
        <v>125</v>
      </c>
      <c r="H22" s="1" t="s">
        <v>139</v>
      </c>
      <c r="I22" s="1" t="s">
        <v>35</v>
      </c>
      <c r="J22" s="1" t="s">
        <v>36</v>
      </c>
      <c r="N22" s="1" t="s">
        <v>139</v>
      </c>
    </row>
  </sheetData>
  <drawing r:id="rId1"/>
</worksheet>
</file>